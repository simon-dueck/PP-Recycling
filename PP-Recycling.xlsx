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"/>
    </mc:Choice>
  </mc:AlternateContent>
  <xr:revisionPtr revIDLastSave="0" documentId="8_{7D48D5EA-0054-4B69-B2FC-EB177145E42E}" xr6:coauthVersionLast="47" xr6:coauthVersionMax="47" xr10:uidLastSave="{00000000-0000-0000-0000-000000000000}"/>
  <bookViews>
    <workbookView xWindow="-28920" yWindow="-120" windowWidth="29040" windowHeight="15840" xr2:uid="{CE66B8C7-87D0-46A6-96C3-03B3091D3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3" i="1" l="1"/>
  <c r="AI39" i="1"/>
  <c r="U34" i="1"/>
  <c r="V34" i="1"/>
  <c r="W34" i="1"/>
  <c r="X34" i="1"/>
  <c r="T34" i="1"/>
  <c r="Z64" i="1"/>
  <c r="AG64" i="1" s="1"/>
  <c r="AA64" i="1"/>
  <c r="AB64" i="1"/>
  <c r="AC64" i="1"/>
  <c r="AD64" i="1"/>
  <c r="AE64" i="1"/>
  <c r="AG77" i="1"/>
  <c r="AG78" i="1"/>
  <c r="AG80" i="1"/>
  <c r="AG81" i="1"/>
  <c r="AG82" i="1"/>
  <c r="AG83" i="1"/>
  <c r="AG84" i="1"/>
  <c r="AG85" i="1"/>
  <c r="AG86" i="1"/>
  <c r="AI79" i="1" s="1"/>
  <c r="AG87" i="1"/>
  <c r="AG88" i="1"/>
  <c r="AG89" i="1"/>
  <c r="AG90" i="1"/>
  <c r="AG91" i="1"/>
  <c r="AG92" i="1"/>
  <c r="AG93" i="1"/>
  <c r="AG94" i="1"/>
  <c r="AG54" i="1"/>
  <c r="AG55" i="1"/>
  <c r="AG56" i="1"/>
  <c r="AG59" i="1"/>
  <c r="AG60" i="1"/>
  <c r="AG6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I27" i="1"/>
  <c r="AE39" i="1"/>
  <c r="AD39" i="1"/>
  <c r="AC39" i="1"/>
  <c r="AB39" i="1"/>
  <c r="AA39" i="1"/>
  <c r="Z39" i="1"/>
  <c r="AE38" i="1"/>
  <c r="AD38" i="1"/>
  <c r="AC38" i="1"/>
  <c r="AB38" i="1"/>
  <c r="AA38" i="1"/>
  <c r="Z38" i="1"/>
  <c r="AE37" i="1"/>
  <c r="AD37" i="1"/>
  <c r="AC37" i="1"/>
  <c r="AB37" i="1"/>
  <c r="AA37" i="1"/>
  <c r="Z37" i="1"/>
  <c r="AE36" i="1"/>
  <c r="AD36" i="1"/>
  <c r="AC36" i="1"/>
  <c r="AB36" i="1"/>
  <c r="AA36" i="1"/>
  <c r="Z36" i="1"/>
  <c r="AE35" i="1"/>
  <c r="AD35" i="1"/>
  <c r="AC35" i="1"/>
  <c r="AB35" i="1"/>
  <c r="AA35" i="1"/>
  <c r="Z35" i="1"/>
  <c r="AE34" i="1"/>
  <c r="AD34" i="1"/>
  <c r="AC34" i="1"/>
  <c r="AB34" i="1"/>
  <c r="AA34" i="1"/>
  <c r="Z34" i="1"/>
  <c r="AE33" i="1"/>
  <c r="AD33" i="1"/>
  <c r="AC33" i="1"/>
  <c r="AB33" i="1"/>
  <c r="AA33" i="1"/>
  <c r="Z33" i="1"/>
  <c r="AE32" i="1"/>
  <c r="AD32" i="1"/>
  <c r="AC32" i="1"/>
  <c r="AB32" i="1"/>
  <c r="AA32" i="1"/>
  <c r="Z32" i="1"/>
  <c r="AE31" i="1"/>
  <c r="AD31" i="1"/>
  <c r="AC31" i="1"/>
  <c r="AB31" i="1"/>
  <c r="AA31" i="1"/>
  <c r="Z31" i="1"/>
  <c r="AE30" i="1"/>
  <c r="AD30" i="1"/>
  <c r="AC30" i="1"/>
  <c r="AB30" i="1"/>
  <c r="AA30" i="1"/>
  <c r="Z30" i="1"/>
  <c r="AE29" i="1"/>
  <c r="AD29" i="1"/>
  <c r="AC29" i="1"/>
  <c r="AB29" i="1"/>
  <c r="AA29" i="1"/>
  <c r="Z29" i="1"/>
  <c r="AE28" i="1"/>
  <c r="AD28" i="1"/>
  <c r="AC28" i="1"/>
  <c r="AB28" i="1"/>
  <c r="AA28" i="1"/>
  <c r="Z28" i="1"/>
  <c r="AE27" i="1"/>
  <c r="AD27" i="1"/>
  <c r="AC27" i="1"/>
  <c r="AB27" i="1"/>
  <c r="AA27" i="1"/>
  <c r="Z27" i="1"/>
  <c r="AE26" i="1"/>
  <c r="AD26" i="1"/>
  <c r="AC26" i="1"/>
  <c r="AB26" i="1"/>
  <c r="AA26" i="1"/>
  <c r="Z26" i="1"/>
  <c r="AE25" i="1"/>
  <c r="AG25" i="1" s="1"/>
  <c r="AD25" i="1"/>
  <c r="AC25" i="1"/>
  <c r="AB25" i="1"/>
  <c r="AA25" i="1"/>
  <c r="Z25" i="1"/>
  <c r="AD24" i="1"/>
  <c r="Z24" i="1"/>
  <c r="AE65" i="1"/>
  <c r="AD65" i="1"/>
  <c r="AC65" i="1"/>
  <c r="AB65" i="1"/>
  <c r="AA65" i="1"/>
  <c r="Z65" i="1"/>
  <c r="AE60" i="1"/>
  <c r="AD60" i="1"/>
  <c r="AC60" i="1"/>
  <c r="AB60" i="1"/>
  <c r="AA60" i="1"/>
  <c r="Z60" i="1"/>
  <c r="AE59" i="1"/>
  <c r="AD59" i="1"/>
  <c r="AC59" i="1"/>
  <c r="AB59" i="1"/>
  <c r="AA59" i="1"/>
  <c r="Z59" i="1"/>
  <c r="AE56" i="1"/>
  <c r="AD56" i="1"/>
  <c r="AC56" i="1"/>
  <c r="AB56" i="1"/>
  <c r="AA56" i="1"/>
  <c r="Z56" i="1"/>
  <c r="AE54" i="1"/>
  <c r="AD54" i="1"/>
  <c r="AC54" i="1"/>
  <c r="AB54" i="1"/>
  <c r="AA54" i="1"/>
  <c r="Z54" i="1"/>
  <c r="Z50" i="1"/>
  <c r="AE76" i="1"/>
  <c r="AE77" i="1"/>
  <c r="AE78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A76" i="1"/>
  <c r="AB76" i="1"/>
  <c r="AC76" i="1"/>
  <c r="AD76" i="1"/>
  <c r="AA77" i="1"/>
  <c r="AB77" i="1"/>
  <c r="AC77" i="1"/>
  <c r="AD77" i="1"/>
  <c r="AA78" i="1"/>
  <c r="AB78" i="1"/>
  <c r="AC78" i="1"/>
  <c r="AD78" i="1"/>
  <c r="AA80" i="1"/>
  <c r="AB80" i="1"/>
  <c r="AC80" i="1"/>
  <c r="AD80" i="1"/>
  <c r="AA81" i="1"/>
  <c r="AB81" i="1"/>
  <c r="AC81" i="1"/>
  <c r="AD81" i="1"/>
  <c r="AA82" i="1"/>
  <c r="AB82" i="1"/>
  <c r="AC82" i="1"/>
  <c r="AD82" i="1"/>
  <c r="AA83" i="1"/>
  <c r="AB83" i="1"/>
  <c r="AC83" i="1"/>
  <c r="AD83" i="1"/>
  <c r="AA84" i="1"/>
  <c r="AB84" i="1"/>
  <c r="AC84" i="1"/>
  <c r="AD84" i="1"/>
  <c r="AA85" i="1"/>
  <c r="AB85" i="1"/>
  <c r="AC85" i="1"/>
  <c r="AD85" i="1"/>
  <c r="AA86" i="1"/>
  <c r="AB86" i="1"/>
  <c r="AC86" i="1"/>
  <c r="AD86" i="1"/>
  <c r="AA87" i="1"/>
  <c r="AB87" i="1"/>
  <c r="AC87" i="1"/>
  <c r="AD87" i="1"/>
  <c r="AA88" i="1"/>
  <c r="AB88" i="1"/>
  <c r="AC88" i="1"/>
  <c r="AD88" i="1"/>
  <c r="AA89" i="1"/>
  <c r="AB89" i="1"/>
  <c r="AC89" i="1"/>
  <c r="AD89" i="1"/>
  <c r="AA90" i="1"/>
  <c r="AB90" i="1"/>
  <c r="AC90" i="1"/>
  <c r="AD90" i="1"/>
  <c r="AA91" i="1"/>
  <c r="AB91" i="1"/>
  <c r="AC91" i="1"/>
  <c r="AD91" i="1"/>
  <c r="AA92" i="1"/>
  <c r="AB92" i="1"/>
  <c r="AC92" i="1"/>
  <c r="AD92" i="1"/>
  <c r="AA93" i="1"/>
  <c r="AB93" i="1"/>
  <c r="AC93" i="1"/>
  <c r="AD93" i="1"/>
  <c r="AA94" i="1"/>
  <c r="AB94" i="1"/>
  <c r="AC94" i="1"/>
  <c r="AD94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76" i="1"/>
  <c r="AG76" i="1" s="1"/>
  <c r="X31" i="1"/>
  <c r="X30" i="1"/>
  <c r="X86" i="1"/>
  <c r="X85" i="1"/>
  <c r="U93" i="1"/>
  <c r="V93" i="1"/>
  <c r="W93" i="1"/>
  <c r="X93" i="1"/>
  <c r="T93" i="1"/>
  <c r="I92" i="1"/>
  <c r="C83" i="1"/>
  <c r="A83" i="1"/>
  <c r="U85" i="1"/>
  <c r="V85" i="1"/>
  <c r="W85" i="1"/>
  <c r="T85" i="1"/>
  <c r="S85" i="1"/>
  <c r="X83" i="1"/>
  <c r="W83" i="1"/>
  <c r="V83" i="1"/>
  <c r="U83" i="1"/>
  <c r="T83" i="1"/>
  <c r="V26" i="1"/>
  <c r="U26" i="1"/>
  <c r="T26" i="1"/>
  <c r="T81" i="1"/>
  <c r="T36" i="1"/>
  <c r="U36" i="1"/>
  <c r="V36" i="1"/>
  <c r="W36" i="1"/>
  <c r="X36" i="1"/>
  <c r="U28" i="1"/>
  <c r="V28" i="1"/>
  <c r="W28" i="1"/>
  <c r="X28" i="1"/>
  <c r="T28" i="1"/>
  <c r="U30" i="1"/>
  <c r="V30" i="1"/>
  <c r="W30" i="1"/>
  <c r="T30" i="1"/>
  <c r="C39" i="1"/>
  <c r="A39" i="1"/>
  <c r="X39" i="1" s="1"/>
  <c r="X24" i="1" s="1"/>
  <c r="AE24" i="1" s="1"/>
  <c r="C65" i="1"/>
  <c r="A65" i="1" s="1"/>
  <c r="J12" i="1"/>
  <c r="S24" i="1"/>
  <c r="S50" i="1"/>
  <c r="C34" i="1"/>
  <c r="W39" i="1" s="1"/>
  <c r="W24" i="1" s="1"/>
  <c r="A37" i="1"/>
  <c r="I34" i="1"/>
  <c r="O79" i="1"/>
  <c r="D95" i="1"/>
  <c r="U81" i="1"/>
  <c r="V81" i="1"/>
  <c r="W81" i="1"/>
  <c r="K88" i="1"/>
  <c r="X26" i="1" s="1"/>
  <c r="E90" i="1"/>
  <c r="D90" i="1"/>
  <c r="B95" i="1"/>
  <c r="B74" i="1"/>
  <c r="T54" i="1"/>
  <c r="U54" i="1"/>
  <c r="V54" i="1"/>
  <c r="W54" i="1"/>
  <c r="X54" i="1"/>
  <c r="T56" i="1"/>
  <c r="U56" i="1"/>
  <c r="V56" i="1"/>
  <c r="W56" i="1"/>
  <c r="X56" i="1"/>
  <c r="I60" i="1"/>
  <c r="C60" i="1"/>
  <c r="A63" i="1"/>
  <c r="J4" i="1"/>
  <c r="J8" i="1" s="1"/>
  <c r="T91" i="1" l="1"/>
  <c r="B79" i="1"/>
  <c r="C79" i="1" s="1"/>
  <c r="T39" i="1"/>
  <c r="T24" i="1" s="1"/>
  <c r="AA24" i="1" s="1"/>
  <c r="F95" i="1"/>
  <c r="U39" i="1"/>
  <c r="U24" i="1" s="1"/>
  <c r="AB24" i="1" s="1"/>
  <c r="V39" i="1"/>
  <c r="V24" i="1" s="1"/>
  <c r="AC24" i="1" s="1"/>
  <c r="X91" i="1"/>
  <c r="W91" i="1"/>
  <c r="V91" i="1"/>
  <c r="U91" i="1"/>
  <c r="W26" i="1"/>
  <c r="X81" i="1"/>
  <c r="D34" i="1"/>
  <c r="E31" i="1" s="1"/>
  <c r="J14" i="1"/>
  <c r="J15" i="1" s="1"/>
  <c r="J19" i="1" s="1"/>
  <c r="D60" i="1"/>
  <c r="E57" i="1" s="1"/>
  <c r="T65" i="1"/>
  <c r="T50" i="1" s="1"/>
  <c r="AA50" i="1" s="1"/>
  <c r="W65" i="1"/>
  <c r="W50" i="1" s="1"/>
  <c r="AD50" i="1" s="1"/>
  <c r="V65" i="1"/>
  <c r="V50" i="1" s="1"/>
  <c r="AC50" i="1" s="1"/>
  <c r="U65" i="1"/>
  <c r="U50" i="1" s="1"/>
  <c r="AB50" i="1" s="1"/>
  <c r="X65" i="1"/>
  <c r="X50" i="1" s="1"/>
  <c r="AE50" i="1" s="1"/>
  <c r="J23" i="1"/>
  <c r="AG50" i="1" l="1"/>
  <c r="AI50" i="1" s="1"/>
  <c r="AG24" i="1"/>
  <c r="AI24" i="1" s="1"/>
  <c r="S22" i="1"/>
  <c r="S21" i="1" s="1"/>
  <c r="S20" i="1" s="1"/>
  <c r="U38" i="1"/>
  <c r="V38" i="1"/>
  <c r="W38" i="1"/>
  <c r="X38" i="1"/>
  <c r="T38" i="1"/>
  <c r="T89" i="1"/>
  <c r="U89" i="1"/>
  <c r="V89" i="1"/>
  <c r="W89" i="1"/>
  <c r="X89" i="1"/>
  <c r="U94" i="1"/>
  <c r="U79" i="1" s="1"/>
  <c r="V94" i="1"/>
  <c r="V79" i="1" s="1"/>
  <c r="W94" i="1"/>
  <c r="W79" i="1" s="1"/>
  <c r="X94" i="1"/>
  <c r="X79" i="1" s="1"/>
  <c r="T94" i="1"/>
  <c r="T79" i="1" s="1"/>
  <c r="F34" i="1"/>
  <c r="G34" i="1" s="1"/>
  <c r="K34" i="1" s="1"/>
  <c r="F60" i="1"/>
  <c r="G60" i="1" s="1"/>
  <c r="K60" i="1" s="1"/>
  <c r="T60" i="1" s="1"/>
  <c r="T74" i="1" l="1"/>
  <c r="T73" i="1" s="1"/>
  <c r="AA79" i="1"/>
  <c r="X74" i="1"/>
  <c r="X73" i="1" s="1"/>
  <c r="AE79" i="1"/>
  <c r="W74" i="1"/>
  <c r="W73" i="1" s="1"/>
  <c r="AD79" i="1"/>
  <c r="V74" i="1"/>
  <c r="V73" i="1" s="1"/>
  <c r="AC79" i="1"/>
  <c r="U74" i="1"/>
  <c r="U73" i="1" s="1"/>
  <c r="AB79" i="1"/>
  <c r="AI34" i="1"/>
  <c r="AI30" i="1"/>
  <c r="AI56" i="1"/>
  <c r="AI60" i="1"/>
  <c r="X60" i="1"/>
  <c r="W60" i="1"/>
  <c r="V60" i="1"/>
  <c r="U60" i="1"/>
  <c r="X64" i="1"/>
  <c r="X48" i="1" s="1"/>
  <c r="X47" i="1" s="1"/>
  <c r="W22" i="1"/>
  <c r="W21" i="1" s="1"/>
  <c r="T22" i="1"/>
  <c r="T21" i="1" s="1"/>
  <c r="V64" i="1"/>
  <c r="V48" i="1" s="1"/>
  <c r="V47" i="1" s="1"/>
  <c r="S48" i="1"/>
  <c r="S47" i="1" s="1"/>
  <c r="V22" i="1"/>
  <c r="V21" i="1" s="1"/>
  <c r="T64" i="1"/>
  <c r="T48" i="1" s="1"/>
  <c r="T47" i="1" s="1"/>
  <c r="W64" i="1"/>
  <c r="W48" i="1" s="1"/>
  <c r="W47" i="1" s="1"/>
  <c r="X22" i="1"/>
  <c r="X21" i="1" s="1"/>
  <c r="U22" i="1"/>
  <c r="U21" i="1" s="1"/>
  <c r="U64" i="1"/>
  <c r="U48" i="1" s="1"/>
  <c r="U47" i="1" s="1"/>
  <c r="S74" i="1"/>
  <c r="S73" i="1" s="1"/>
  <c r="W72" i="1" l="1"/>
  <c r="AG79" i="1"/>
  <c r="AI76" i="1" s="1"/>
  <c r="T46" i="1"/>
  <c r="V46" i="1"/>
  <c r="S46" i="1"/>
  <c r="X46" i="1"/>
  <c r="U46" i="1"/>
  <c r="W46" i="1"/>
  <c r="T20" i="1"/>
  <c r="U20" i="1"/>
  <c r="V20" i="1"/>
  <c r="X20" i="1"/>
  <c r="W20" i="1"/>
  <c r="X72" i="1"/>
  <c r="T72" i="1"/>
  <c r="V72" i="1"/>
  <c r="U72" i="1"/>
  <c r="S72" i="1"/>
  <c r="AI86" i="1" l="1"/>
  <c r="AI82" i="1"/>
</calcChain>
</file>

<file path=xl/sharedStrings.xml><?xml version="1.0" encoding="utf-8"?>
<sst xmlns="http://schemas.openxmlformats.org/spreadsheetml/2006/main" count="189" uniqueCount="114">
  <si>
    <t>operating cost</t>
  </si>
  <si>
    <t>lease</t>
  </si>
  <si>
    <t>gas</t>
  </si>
  <si>
    <t>utilities</t>
  </si>
  <si>
    <t>employees</t>
  </si>
  <si>
    <t>recurring expenses</t>
  </si>
  <si>
    <t>one-time payments</t>
  </si>
  <si>
    <t>office furnishings</t>
  </si>
  <si>
    <t>3d printer filament</t>
  </si>
  <si>
    <t>all options</t>
  </si>
  <si>
    <t>option 1</t>
  </si>
  <si>
    <t>option 2</t>
  </si>
  <si>
    <t>option 3</t>
  </si>
  <si>
    <t>pellets</t>
  </si>
  <si>
    <t xml:space="preserve">interest rate </t>
  </si>
  <si>
    <t>filament extruder</t>
  </si>
  <si>
    <t>stuff to make pellets</t>
  </si>
  <si>
    <t>people in the us</t>
  </si>
  <si>
    <t>kg per person</t>
  </si>
  <si>
    <t>population of winnipeg metro area</t>
  </si>
  <si>
    <t>kg of pp waste per year</t>
  </si>
  <si>
    <t>kg pp in us per year</t>
  </si>
  <si>
    <t>truck purchase</t>
  </si>
  <si>
    <t>per day</t>
  </si>
  <si>
    <t>per hour, 24 hrs</t>
  </si>
  <si>
    <t>kg per hour per machine</t>
  </si>
  <si>
    <t>machines</t>
  </si>
  <si>
    <t>Running Total</t>
  </si>
  <si>
    <t>Sum of Year</t>
  </si>
  <si>
    <t>Operating Cost</t>
  </si>
  <si>
    <t>Building Lease</t>
  </si>
  <si>
    <t>Gas</t>
  </si>
  <si>
    <t>Truck</t>
  </si>
  <si>
    <t>Office Furnishings</t>
  </si>
  <si>
    <t>Utilities</t>
  </si>
  <si>
    <t>Employee Salary</t>
  </si>
  <si>
    <t>Year Present Worth</t>
  </si>
  <si>
    <t>filament income</t>
  </si>
  <si>
    <t>dollars per kg of filament</t>
  </si>
  <si>
    <t>gets recycled</t>
  </si>
  <si>
    <t>Option 3 Pellet Production</t>
  </si>
  <si>
    <t>Year</t>
  </si>
  <si>
    <t>Use your basement, no building cost</t>
  </si>
  <si>
    <t>2 machines running 24/7</t>
  </si>
  <si>
    <t>You do everything yourself</t>
  </si>
  <si>
    <t>ΔT</t>
  </si>
  <si>
    <t>kg per machine per hour</t>
  </si>
  <si>
    <t>kg per hour</t>
  </si>
  <si>
    <t>J/kg °C</t>
  </si>
  <si>
    <t>kWh per year</t>
  </si>
  <si>
    <t>kWh/year</t>
  </si>
  <si>
    <t>days/year</t>
  </si>
  <si>
    <t>hours/day</t>
  </si>
  <si>
    <t>$/kwh</t>
  </si>
  <si>
    <t>hours of operation per year</t>
  </si>
  <si>
    <t>kg / year</t>
  </si>
  <si>
    <t>J / year</t>
  </si>
  <si>
    <t>Additional price</t>
  </si>
  <si>
    <t>price per year</t>
  </si>
  <si>
    <t>price increase per year</t>
  </si>
  <si>
    <t>none since its your house in your basement</t>
  </si>
  <si>
    <t>Annual repair cost for a truck</t>
  </si>
  <si>
    <t>price per kg of filament</t>
  </si>
  <si>
    <t>Electricity</t>
  </si>
  <si>
    <t>1.50 for gas, 30km per trip, 1 trip every week</t>
  </si>
  <si>
    <t>purchase truck for 50k</t>
  </si>
  <si>
    <t>Upfront cost</t>
  </si>
  <si>
    <t>Pellet sell price per ton</t>
  </si>
  <si>
    <t>per kg</t>
  </si>
  <si>
    <t>repair cost as percentage of goods</t>
  </si>
  <si>
    <t>kg per year</t>
  </si>
  <si>
    <t>profit per year</t>
  </si>
  <si>
    <t>pellet income</t>
  </si>
  <si>
    <t>employee salary</t>
  </si>
  <si>
    <t>manager salary</t>
  </si>
  <si>
    <t>managers</t>
  </si>
  <si>
    <t>managers pay</t>
  </si>
  <si>
    <t>employees pay</t>
  </si>
  <si>
    <r>
      <t>CAD</t>
    </r>
    <r>
      <rPr>
        <b/>
        <sz val="10.5"/>
        <color rgb="FF333333"/>
        <rFont val="Arial"/>
        <family val="2"/>
      </rPr>
      <t>12 </t>
    </r>
    <r>
      <rPr>
        <sz val="11"/>
        <color theme="1"/>
        <rFont val="Calibri"/>
        <family val="2"/>
        <scheme val="minor"/>
      </rPr>
      <t xml:space="preserve"> per sq foot per year -&gt; </t>
    </r>
    <r>
      <rPr>
        <b/>
        <sz val="10.5"/>
        <color rgb="FF333333"/>
        <rFont val="Arial"/>
        <family val="2"/>
      </rPr>
      <t>4,900square foot, operating expenses 4$ per square foot per year</t>
    </r>
  </si>
  <si>
    <t>sq foot</t>
  </si>
  <si>
    <t>price psf</t>
  </si>
  <si>
    <t>operating psf</t>
  </si>
  <si>
    <t>base rent</t>
  </si>
  <si>
    <t>Building furnishings</t>
  </si>
  <si>
    <t>power kW</t>
  </si>
  <si>
    <t>1.50 for gas, 30km per trip, 1 trip every day</t>
  </si>
  <si>
    <t>12.6 L/100km</t>
  </si>
  <si>
    <t>truck cost</t>
  </si>
  <si>
    <t>truck mileage</t>
  </si>
  <si>
    <t>gas price</t>
  </si>
  <si>
    <t>trips per year</t>
  </si>
  <si>
    <t>trip distance</t>
  </si>
  <si>
    <t>yearly gas</t>
  </si>
  <si>
    <t>yearly maintenance</t>
  </si>
  <si>
    <t>truck salvage</t>
  </si>
  <si>
    <t>inflation rate</t>
  </si>
  <si>
    <t>price of spool</t>
  </si>
  <si>
    <t>spool cost</t>
  </si>
  <si>
    <t>kg per spool</t>
  </si>
  <si>
    <t>spools per year</t>
  </si>
  <si>
    <t>cost of machine</t>
  </si>
  <si>
    <t>truck resell value</t>
  </si>
  <si>
    <t>Small Scale Production</t>
  </si>
  <si>
    <t>Mass Production</t>
  </si>
  <si>
    <t>kg per bag</t>
  </si>
  <si>
    <t>bags per year</t>
  </si>
  <si>
    <t>price per bag</t>
  </si>
  <si>
    <t>npw</t>
  </si>
  <si>
    <t>Present Worth of line</t>
  </si>
  <si>
    <t>pw of cost</t>
  </si>
  <si>
    <t>pw of benefits</t>
  </si>
  <si>
    <t>b/c</t>
  </si>
  <si>
    <t>bag cost</t>
  </si>
  <si>
    <t>option 1 but at a different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</si>
</sst>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8" formatCode="_-[$$-1009]* #,##0.00_-;\-[$$-1009]* #,##0.00_-;_-[$$-1009]* &quot;-&quot;??_-;_-@_-"/>
    <numFmt numFmtId="170" formatCode="_-[$$-1009]* #,##0_-;\-[$$-1009]* #,##0_-;_-[$$-1009]* &quot;-&quot;??_-;_-@_-"/>
    <numFmt numFmtId="176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D3D3D"/>
      <name val="Arial"/>
      <family val="2"/>
    </font>
    <font>
      <b/>
      <sz val="10.5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3" fontId="0" fillId="0" borderId="0" xfId="0" applyNumberFormat="1"/>
    <xf numFmtId="44" fontId="0" fillId="0" borderId="0" xfId="1" applyFont="1"/>
    <xf numFmtId="168" fontId="0" fillId="0" borderId="0" xfId="1" applyNumberFormat="1" applyFont="1"/>
    <xf numFmtId="168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center"/>
    </xf>
    <xf numFmtId="170" fontId="0" fillId="0" borderId="0" xfId="1" applyNumberFormat="1" applyFont="1"/>
    <xf numFmtId="9" fontId="0" fillId="0" borderId="0" xfId="0" applyNumberFormat="1"/>
    <xf numFmtId="1" fontId="0" fillId="0" borderId="0" xfId="1" applyNumberFormat="1" applyFont="1"/>
    <xf numFmtId="0" fontId="2" fillId="0" borderId="0" xfId="0" applyFont="1"/>
    <xf numFmtId="0" fontId="0" fillId="0" borderId="0" xfId="0" applyAlignment="1">
      <alignment wrapText="1"/>
    </xf>
    <xf numFmtId="168" fontId="0" fillId="0" borderId="0" xfId="1" applyNumberFormat="1" applyFont="1" applyAlignment="1">
      <alignment horizontal="right" wrapText="1"/>
    </xf>
    <xf numFmtId="6" fontId="0" fillId="0" borderId="0" xfId="0" applyNumberFormat="1"/>
    <xf numFmtId="176" fontId="0" fillId="0" borderId="0" xfId="0" applyNumberFormat="1"/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168" fontId="0" fillId="0" borderId="0" xfId="1" applyNumberFormat="1" applyFont="1" applyBorder="1" applyAlignment="1">
      <alignment horizontal="right"/>
    </xf>
    <xf numFmtId="168" fontId="0" fillId="0" borderId="0" xfId="1" applyNumberFormat="1" applyFont="1" applyBorder="1"/>
    <xf numFmtId="1" fontId="0" fillId="0" borderId="0" xfId="1" applyNumberFormat="1" applyFont="1" applyBorder="1"/>
    <xf numFmtId="6" fontId="0" fillId="0" borderId="0" xfId="0" applyNumberFormat="1" applyBorder="1"/>
    <xf numFmtId="0" fontId="0" fillId="0" borderId="0" xfId="0" applyBorder="1" applyAlignment="1">
      <alignment wrapText="1"/>
    </xf>
    <xf numFmtId="168" fontId="0" fillId="0" borderId="0" xfId="1" applyNumberFormat="1" applyFont="1" applyBorder="1" applyAlignment="1">
      <alignment horizontal="right" wrapText="1"/>
    </xf>
    <xf numFmtId="168" fontId="0" fillId="0" borderId="0" xfId="1" applyNumberFormat="1" applyFont="1" applyBorder="1" applyAlignment="1">
      <alignment wrapText="1"/>
    </xf>
    <xf numFmtId="0" fontId="2" fillId="0" borderId="0" xfId="0" applyFont="1" applyBorder="1"/>
    <xf numFmtId="44" fontId="0" fillId="0" borderId="0" xfId="1" applyFont="1" applyBorder="1"/>
    <xf numFmtId="10" fontId="0" fillId="0" borderId="0" xfId="0" applyNumberFormat="1" applyBorder="1"/>
    <xf numFmtId="170" fontId="0" fillId="0" borderId="0" xfId="1" applyNumberFormat="1" applyFont="1" applyBorder="1"/>
    <xf numFmtId="0" fontId="0" fillId="0" borderId="1" xfId="0" applyBorder="1"/>
    <xf numFmtId="0" fontId="0" fillId="0" borderId="2" xfId="0" applyBorder="1"/>
    <xf numFmtId="168" fontId="0" fillId="0" borderId="2" xfId="1" applyNumberFormat="1" applyFont="1" applyBorder="1" applyAlignment="1">
      <alignment horizontal="right"/>
    </xf>
    <xf numFmtId="168" fontId="0" fillId="0" borderId="2" xfId="1" applyNumberFormat="1" applyFont="1" applyBorder="1"/>
    <xf numFmtId="0" fontId="0" fillId="0" borderId="3" xfId="0" applyBorder="1"/>
    <xf numFmtId="6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168" fontId="0" fillId="0" borderId="5" xfId="1" applyNumberFormat="1" applyFont="1" applyBorder="1" applyAlignment="1">
      <alignment horizontal="right"/>
    </xf>
    <xf numFmtId="168" fontId="0" fillId="0" borderId="5" xfId="1" applyNumberFormat="1" applyFont="1" applyBorder="1"/>
    <xf numFmtId="168" fontId="0" fillId="0" borderId="0" xfId="1" applyNumberFormat="1" applyFont="1" applyFill="1" applyBorder="1"/>
    <xf numFmtId="0" fontId="0" fillId="0" borderId="0" xfId="0" quotePrefix="1"/>
    <xf numFmtId="168" fontId="0" fillId="0" borderId="0" xfId="0" applyNumberFormat="1" applyBorder="1"/>
    <xf numFmtId="168" fontId="0" fillId="0" borderId="0" xfId="0" applyNumberFormat="1"/>
    <xf numFmtId="2" fontId="0" fillId="0" borderId="0" xfId="0" applyNumberFormat="1"/>
  </cellXfs>
  <cellStyles count="2">
    <cellStyle name="Currency" xfId="1" builtinId="4"/>
    <cellStyle name="Normal" xfId="0" builtinId="0"/>
  </cellStyles>
  <dxfs count="14"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B99B-033A-4AE5-9FF5-2419F922333B}">
  <dimension ref="A1:AI95"/>
  <sheetViews>
    <sheetView tabSelected="1" zoomScale="85" zoomScaleNormal="85" workbookViewId="0">
      <selection activeCell="U26" sqref="U26"/>
    </sheetView>
  </sheetViews>
  <sheetFormatPr defaultRowHeight="15" x14ac:dyDescent="0.25"/>
  <cols>
    <col min="1" max="9" width="11.42578125" customWidth="1"/>
    <col min="10" max="10" width="12" customWidth="1"/>
    <col min="11" max="12" width="11.42578125" customWidth="1"/>
    <col min="13" max="13" width="9.7109375" customWidth="1"/>
    <col min="14" max="14" width="11.42578125" customWidth="1"/>
    <col min="15" max="16" width="13.140625" customWidth="1"/>
    <col min="17" max="17" width="13.140625" style="6" customWidth="1"/>
    <col min="18" max="18" width="20" style="6" customWidth="1"/>
    <col min="19" max="24" width="16.140625" style="5" customWidth="1"/>
    <col min="25" max="25" width="9.140625" style="5"/>
    <col min="26" max="36" width="15.140625" customWidth="1"/>
  </cols>
  <sheetData>
    <row r="1" spans="4:25" x14ac:dyDescent="0.25">
      <c r="J1">
        <v>7393555631</v>
      </c>
      <c r="K1" t="s">
        <v>21</v>
      </c>
    </row>
    <row r="2" spans="4:25" x14ac:dyDescent="0.25">
      <c r="D2" t="s">
        <v>14</v>
      </c>
      <c r="F2" s="2">
        <v>9.9500000000000005E-2</v>
      </c>
      <c r="J2" s="9">
        <v>0.32</v>
      </c>
      <c r="K2" t="s">
        <v>39</v>
      </c>
    </row>
    <row r="3" spans="4:25" x14ac:dyDescent="0.25">
      <c r="D3" t="s">
        <v>95</v>
      </c>
      <c r="F3" s="2">
        <v>3.1E-2</v>
      </c>
    </row>
    <row r="4" spans="4:25" x14ac:dyDescent="0.25">
      <c r="D4" s="1" t="s">
        <v>9</v>
      </c>
      <c r="E4" s="1"/>
      <c r="F4" s="1"/>
      <c r="G4" s="1"/>
      <c r="H4" s="1"/>
      <c r="I4" s="1"/>
      <c r="J4">
        <f>J2*J1</f>
        <v>2365937801.9200001</v>
      </c>
      <c r="K4" t="s">
        <v>21</v>
      </c>
      <c r="L4" s="1" t="s">
        <v>10</v>
      </c>
      <c r="M4" s="1"/>
      <c r="N4" s="1"/>
      <c r="O4" s="1"/>
      <c r="Q4" s="7" t="s">
        <v>11</v>
      </c>
      <c r="R4" s="7"/>
      <c r="S4" s="7"/>
      <c r="T4" s="7"/>
      <c r="V4" s="7" t="s">
        <v>12</v>
      </c>
      <c r="W4" s="7"/>
      <c r="X4" s="7"/>
      <c r="Y4" s="7"/>
    </row>
    <row r="6" spans="4:25" x14ac:dyDescent="0.25">
      <c r="D6" s="1" t="s">
        <v>5</v>
      </c>
      <c r="E6" s="1"/>
      <c r="F6" s="1"/>
      <c r="G6" s="1" t="s">
        <v>6</v>
      </c>
      <c r="H6" s="1"/>
      <c r="I6" s="1"/>
      <c r="J6">
        <v>326690000</v>
      </c>
      <c r="K6" t="s">
        <v>17</v>
      </c>
      <c r="L6" t="s">
        <v>8</v>
      </c>
      <c r="Q6" s="6" t="s">
        <v>113</v>
      </c>
      <c r="V6" s="5" t="s">
        <v>13</v>
      </c>
    </row>
    <row r="7" spans="4:25" x14ac:dyDescent="0.25">
      <c r="L7" t="s">
        <v>15</v>
      </c>
      <c r="V7" s="5" t="s">
        <v>16</v>
      </c>
    </row>
    <row r="8" spans="4:25" x14ac:dyDescent="0.25">
      <c r="D8" t="s">
        <v>0</v>
      </c>
      <c r="G8" t="s">
        <v>7</v>
      </c>
      <c r="J8">
        <f>J4/J6</f>
        <v>7.2421494441825587</v>
      </c>
      <c r="K8" t="s">
        <v>18</v>
      </c>
    </row>
    <row r="9" spans="4:25" x14ac:dyDescent="0.25">
      <c r="D9" t="s">
        <v>1</v>
      </c>
      <c r="G9" t="s">
        <v>22</v>
      </c>
    </row>
    <row r="10" spans="4:25" x14ac:dyDescent="0.25">
      <c r="D10" t="s">
        <v>2</v>
      </c>
      <c r="J10" s="3">
        <v>841000</v>
      </c>
      <c r="K10" t="s">
        <v>19</v>
      </c>
    </row>
    <row r="11" spans="4:25" x14ac:dyDescent="0.25">
      <c r="D11" t="s">
        <v>3</v>
      </c>
    </row>
    <row r="12" spans="4:25" x14ac:dyDescent="0.25">
      <c r="D12" t="s">
        <v>4</v>
      </c>
      <c r="J12">
        <f>J10*J8*J2</f>
        <v>1949007.2584184101</v>
      </c>
      <c r="K12" t="s">
        <v>20</v>
      </c>
    </row>
    <row r="14" spans="4:25" x14ac:dyDescent="0.25">
      <c r="J14">
        <f>J12/365</f>
        <v>5339.7459134750961</v>
      </c>
      <c r="K14" t="s">
        <v>23</v>
      </c>
    </row>
    <row r="15" spans="4:25" x14ac:dyDescent="0.25">
      <c r="J15">
        <f>J14/24</f>
        <v>222.48941306146233</v>
      </c>
      <c r="K15" t="s">
        <v>24</v>
      </c>
    </row>
    <row r="17" spans="1:35" x14ac:dyDescent="0.25">
      <c r="J17">
        <v>5</v>
      </c>
      <c r="K17" t="s">
        <v>25</v>
      </c>
      <c r="R17" s="6" t="s">
        <v>103</v>
      </c>
    </row>
    <row r="19" spans="1:35" x14ac:dyDescent="0.25">
      <c r="J19">
        <f>J15/J17</f>
        <v>44.497882612292464</v>
      </c>
      <c r="K19" t="s">
        <v>26</v>
      </c>
      <c r="R19" s="6" t="s">
        <v>41</v>
      </c>
      <c r="S19" s="10">
        <v>0</v>
      </c>
      <c r="T19" s="10">
        <v>1</v>
      </c>
      <c r="U19" s="10">
        <v>2</v>
      </c>
      <c r="V19" s="10">
        <v>3</v>
      </c>
      <c r="W19" s="10">
        <v>4</v>
      </c>
      <c r="X19" s="10">
        <v>5</v>
      </c>
    </row>
    <row r="20" spans="1:35" x14ac:dyDescent="0.25">
      <c r="R20" s="6" t="s">
        <v>27</v>
      </c>
      <c r="S20" s="5">
        <f>SUM($S21:S21)</f>
        <v>-67000</v>
      </c>
      <c r="T20" s="5">
        <f>SUM($S21:T21)</f>
        <v>5256836.9382567834</v>
      </c>
      <c r="U20" s="5">
        <f>SUM($S21:U21)</f>
        <v>10098876.950035643</v>
      </c>
      <c r="V20" s="5">
        <f>SUM($S21:V21)</f>
        <v>14502721.608179994</v>
      </c>
      <c r="W20" s="5">
        <f>SUM($S21:W21)</f>
        <v>18508026.647515602</v>
      </c>
      <c r="X20" s="5">
        <f>SUM($S21:X21)</f>
        <v>22160194.069499586</v>
      </c>
      <c r="AI20" s="41"/>
    </row>
    <row r="21" spans="1:35" x14ac:dyDescent="0.25">
      <c r="J21">
        <v>69</v>
      </c>
      <c r="K21" t="s">
        <v>38</v>
      </c>
      <c r="R21" s="6" t="s">
        <v>36</v>
      </c>
      <c r="S21" s="5">
        <f>S22*(1+$F$2)^-S19</f>
        <v>-67000</v>
      </c>
      <c r="T21" s="5">
        <f t="shared" ref="T21:X21" si="0">T22*(1+$F$2)^-T19</f>
        <v>5323836.9382567834</v>
      </c>
      <c r="U21" s="5">
        <f t="shared" si="0"/>
        <v>4842040.0117788604</v>
      </c>
      <c r="V21" s="5">
        <f t="shared" si="0"/>
        <v>4403844.658144352</v>
      </c>
      <c r="W21" s="5">
        <f t="shared" si="0"/>
        <v>4005305.0393356085</v>
      </c>
      <c r="X21" s="5">
        <f t="shared" si="0"/>
        <v>3652167.4219839843</v>
      </c>
    </row>
    <row r="22" spans="1:35" x14ac:dyDescent="0.25">
      <c r="R22" s="6" t="s">
        <v>28</v>
      </c>
      <c r="S22" s="5">
        <f>SUM(S23:S40)</f>
        <v>-67000</v>
      </c>
      <c r="T22" s="5">
        <f t="shared" ref="T22:X22" si="1">SUM(T23:T40)</f>
        <v>5853558.7136133332</v>
      </c>
      <c r="U22" s="5">
        <f t="shared" si="1"/>
        <v>5853543.3807494668</v>
      </c>
      <c r="V22" s="5">
        <f t="shared" si="1"/>
        <v>5853527.894556961</v>
      </c>
      <c r="W22" s="5">
        <f t="shared" si="1"/>
        <v>5853512.253502531</v>
      </c>
      <c r="X22" s="5">
        <f t="shared" si="1"/>
        <v>5868496.4560375558</v>
      </c>
    </row>
    <row r="23" spans="1:35" x14ac:dyDescent="0.25">
      <c r="J23">
        <f>J21*J12</f>
        <v>134481500.8308703</v>
      </c>
      <c r="AG23" t="s">
        <v>108</v>
      </c>
      <c r="AI23" t="s">
        <v>109</v>
      </c>
    </row>
    <row r="24" spans="1:35" x14ac:dyDescent="0.25">
      <c r="R24" s="6" t="s">
        <v>29</v>
      </c>
      <c r="S24" s="5">
        <f>-G31*B34</f>
        <v>-7000</v>
      </c>
      <c r="T24" s="5">
        <f>-$A$53*T39</f>
        <v>-5640000</v>
      </c>
      <c r="U24" s="5">
        <f t="shared" ref="U24:W24" si="2">-$A$53*U39</f>
        <v>-5640000</v>
      </c>
      <c r="V24" s="5">
        <f t="shared" si="2"/>
        <v>-5640000</v>
      </c>
      <c r="W24" s="5">
        <f t="shared" si="2"/>
        <v>-5640000</v>
      </c>
      <c r="X24" s="5">
        <f>-$A$53*X39+1000</f>
        <v>-5639000</v>
      </c>
      <c r="Z24" s="44">
        <f>S24*(1+$F$2)^S$71</f>
        <v>-7000</v>
      </c>
      <c r="AA24" s="44">
        <f t="shared" ref="AA24:AA39" si="3">T24*(1+$F$2)^T$71</f>
        <v>-6201180</v>
      </c>
      <c r="AB24" s="44">
        <f t="shared" ref="AB24:AB39" si="4">U24*(1+$F$2)^U$71</f>
        <v>-6818197.4099999992</v>
      </c>
      <c r="AC24" s="44">
        <f t="shared" ref="AC24:AC39" si="5">V24*(1+$F$2)^V$71</f>
        <v>-7496608.0522949984</v>
      </c>
      <c r="AD24" s="44">
        <f t="shared" ref="AD24:AD39" si="6">W24*(1+$F$2)^W$71</f>
        <v>-8242520.553498351</v>
      </c>
      <c r="AE24" s="44">
        <f>X24*(1+$F$2)^X$71</f>
        <v>-9061044.4954954479</v>
      </c>
      <c r="AG24" s="44">
        <f>SUM(Z24:AE24)</f>
        <v>-37826550.511288799</v>
      </c>
      <c r="AI24" s="16">
        <f>AG24+AG26+AG28+AG30+AG32+AG36+AG38</f>
        <v>-41272402.447907008</v>
      </c>
    </row>
    <row r="25" spans="1:35" x14ac:dyDescent="0.25">
      <c r="X25" s="5">
        <v>1000</v>
      </c>
      <c r="Z25" s="44">
        <f t="shared" ref="Z25:Z39" si="7">S25*(1+$F$2)^S$71</f>
        <v>0</v>
      </c>
      <c r="AA25" s="44">
        <f t="shared" si="3"/>
        <v>0</v>
      </c>
      <c r="AB25" s="44">
        <f t="shared" si="4"/>
        <v>0</v>
      </c>
      <c r="AC25" s="44">
        <f t="shared" si="5"/>
        <v>0</v>
      </c>
      <c r="AD25" s="44">
        <f t="shared" si="6"/>
        <v>0</v>
      </c>
      <c r="AE25" s="44">
        <f t="shared" ref="AE25:AE39" si="8">X25*(1+$F$2)^X$71</f>
        <v>1606.8530759878431</v>
      </c>
      <c r="AG25" s="44">
        <f t="shared" ref="AG25:AG39" si="9">SUM(Z25:AE25)</f>
        <v>1606.8530759878431</v>
      </c>
    </row>
    <row r="26" spans="1:35" x14ac:dyDescent="0.25">
      <c r="A26" t="s">
        <v>69</v>
      </c>
      <c r="Q26" s="6" t="s">
        <v>42</v>
      </c>
      <c r="R26" s="6" t="s">
        <v>30</v>
      </c>
      <c r="T26" s="5">
        <f t="shared" ref="T26:X26" si="10">-$K$88</f>
        <v>-83300</v>
      </c>
      <c r="U26" s="5">
        <f t="shared" si="10"/>
        <v>-83300</v>
      </c>
      <c r="V26" s="5">
        <f t="shared" si="10"/>
        <v>-83300</v>
      </c>
      <c r="W26" s="5">
        <f t="shared" si="10"/>
        <v>-83300</v>
      </c>
      <c r="X26" s="5">
        <f t="shared" si="10"/>
        <v>-83300</v>
      </c>
      <c r="Z26" s="44">
        <f t="shared" si="7"/>
        <v>0</v>
      </c>
      <c r="AA26" s="44">
        <f t="shared" si="3"/>
        <v>-91588.349999999991</v>
      </c>
      <c r="AB26" s="44">
        <f t="shared" si="4"/>
        <v>-100701.39082499999</v>
      </c>
      <c r="AC26" s="44">
        <f t="shared" si="5"/>
        <v>-110721.17921208747</v>
      </c>
      <c r="AD26" s="44">
        <f t="shared" si="6"/>
        <v>-121737.93654369019</v>
      </c>
      <c r="AE26" s="44">
        <f t="shared" si="8"/>
        <v>-133850.86122978735</v>
      </c>
      <c r="AG26" s="44">
        <f t="shared" si="9"/>
        <v>-558599.71781056502</v>
      </c>
      <c r="AI26" t="s">
        <v>110</v>
      </c>
    </row>
    <row r="27" spans="1:35" x14ac:dyDescent="0.25">
      <c r="A27">
        <v>0.47</v>
      </c>
      <c r="Z27" s="44">
        <f t="shared" si="7"/>
        <v>0</v>
      </c>
      <c r="AA27" s="44">
        <f t="shared" si="3"/>
        <v>0</v>
      </c>
      <c r="AB27" s="44">
        <f t="shared" si="4"/>
        <v>0</v>
      </c>
      <c r="AC27" s="44">
        <f t="shared" si="5"/>
        <v>0</v>
      </c>
      <c r="AD27" s="44">
        <f t="shared" si="6"/>
        <v>0</v>
      </c>
      <c r="AE27" s="44">
        <f t="shared" si="8"/>
        <v>0</v>
      </c>
      <c r="AG27" s="44">
        <f t="shared" si="9"/>
        <v>0</v>
      </c>
      <c r="AI27" s="16">
        <f>AG39+AG31</f>
        <v>80491436.673742712</v>
      </c>
    </row>
    <row r="28" spans="1:35" x14ac:dyDescent="0.25">
      <c r="N28" t="s">
        <v>86</v>
      </c>
      <c r="Q28" s="6" t="s">
        <v>64</v>
      </c>
      <c r="R28" s="6" t="s">
        <v>31</v>
      </c>
      <c r="T28" s="5">
        <f>-1.5 * 30 * 50 * 5</f>
        <v>-11250</v>
      </c>
      <c r="U28" s="5">
        <f t="shared" ref="U28:X28" si="11">-1.5 * 30 * 50 * 5</f>
        <v>-11250</v>
      </c>
      <c r="V28" s="5">
        <f t="shared" si="11"/>
        <v>-11250</v>
      </c>
      <c r="W28" s="5">
        <f t="shared" si="11"/>
        <v>-11250</v>
      </c>
      <c r="X28" s="5">
        <f t="shared" si="11"/>
        <v>-11250</v>
      </c>
      <c r="Z28" s="44">
        <f t="shared" si="7"/>
        <v>0</v>
      </c>
      <c r="AA28" s="44">
        <f t="shared" si="3"/>
        <v>-12369.375</v>
      </c>
      <c r="AB28" s="44">
        <f t="shared" si="4"/>
        <v>-13600.127812499999</v>
      </c>
      <c r="AC28" s="44">
        <f t="shared" si="5"/>
        <v>-14953.340529843746</v>
      </c>
      <c r="AD28" s="44">
        <f t="shared" si="6"/>
        <v>-16441.197912563199</v>
      </c>
      <c r="AE28" s="44">
        <f t="shared" si="8"/>
        <v>-18077.097104863235</v>
      </c>
      <c r="AG28" s="44">
        <f t="shared" si="9"/>
        <v>-75441.138359770179</v>
      </c>
    </row>
    <row r="29" spans="1:35" x14ac:dyDescent="0.25">
      <c r="K29" t="s">
        <v>101</v>
      </c>
      <c r="L29" t="s">
        <v>61</v>
      </c>
      <c r="Z29" s="44">
        <f t="shared" si="7"/>
        <v>0</v>
      </c>
      <c r="AA29" s="44">
        <f t="shared" si="3"/>
        <v>0</v>
      </c>
      <c r="AB29" s="44">
        <f t="shared" si="4"/>
        <v>0</v>
      </c>
      <c r="AC29" s="44">
        <f t="shared" si="5"/>
        <v>0</v>
      </c>
      <c r="AD29" s="44">
        <f t="shared" si="6"/>
        <v>0</v>
      </c>
      <c r="AE29" s="44">
        <f t="shared" si="8"/>
        <v>0</v>
      </c>
      <c r="AG29" s="44">
        <f t="shared" si="9"/>
        <v>0</v>
      </c>
    </row>
    <row r="30" spans="1:35" x14ac:dyDescent="0.25">
      <c r="A30" t="s">
        <v>62</v>
      </c>
      <c r="C30" t="s">
        <v>96</v>
      </c>
      <c r="D30" t="s">
        <v>98</v>
      </c>
      <c r="E30" t="s">
        <v>99</v>
      </c>
      <c r="G30" t="s">
        <v>100</v>
      </c>
      <c r="K30" s="14">
        <v>13000</v>
      </c>
      <c r="L30">
        <v>936</v>
      </c>
      <c r="Q30" s="6" t="s">
        <v>65</v>
      </c>
      <c r="R30" s="6" t="s">
        <v>32</v>
      </c>
      <c r="S30" s="5">
        <v>-50000</v>
      </c>
      <c r="T30" s="5">
        <f>-$L$30</f>
        <v>-936</v>
      </c>
      <c r="U30" s="5">
        <f t="shared" ref="U30:W30" si="12">-$L$30</f>
        <v>-936</v>
      </c>
      <c r="V30" s="5">
        <f t="shared" si="12"/>
        <v>-936</v>
      </c>
      <c r="W30" s="5">
        <f t="shared" si="12"/>
        <v>-936</v>
      </c>
      <c r="X30" s="5">
        <f>-$L$30</f>
        <v>-936</v>
      </c>
      <c r="Z30" s="44">
        <f t="shared" si="7"/>
        <v>-50000</v>
      </c>
      <c r="AA30" s="44">
        <f t="shared" si="3"/>
        <v>-1029.1319999999998</v>
      </c>
      <c r="AB30" s="44">
        <f t="shared" si="4"/>
        <v>-1131.530634</v>
      </c>
      <c r="AC30" s="44">
        <f t="shared" si="5"/>
        <v>-1244.1179320829997</v>
      </c>
      <c r="AD30" s="44">
        <f t="shared" si="6"/>
        <v>-1367.9076663252583</v>
      </c>
      <c r="AE30" s="44">
        <f t="shared" si="8"/>
        <v>-1504.0144791246212</v>
      </c>
      <c r="AG30" s="44">
        <f t="shared" si="9"/>
        <v>-56276.702711532875</v>
      </c>
      <c r="AI30" s="16">
        <f>AI27+AI24</f>
        <v>39219034.225835703</v>
      </c>
    </row>
    <row r="31" spans="1:35" x14ac:dyDescent="0.25">
      <c r="A31" s="35">
        <v>60</v>
      </c>
      <c r="C31" s="14">
        <v>2</v>
      </c>
      <c r="D31">
        <v>5</v>
      </c>
      <c r="E31">
        <f>D34/D31</f>
        <v>40000</v>
      </c>
      <c r="G31" s="14">
        <v>700</v>
      </c>
      <c r="X31" s="5">
        <f>K30</f>
        <v>13000</v>
      </c>
      <c r="Z31" s="44">
        <f t="shared" si="7"/>
        <v>0</v>
      </c>
      <c r="AA31" s="44">
        <f t="shared" si="3"/>
        <v>0</v>
      </c>
      <c r="AB31" s="44">
        <f t="shared" si="4"/>
        <v>0</v>
      </c>
      <c r="AC31" s="44">
        <f t="shared" si="5"/>
        <v>0</v>
      </c>
      <c r="AD31" s="44">
        <f t="shared" si="6"/>
        <v>0</v>
      </c>
      <c r="AE31" s="44">
        <f t="shared" si="8"/>
        <v>20889.089987841962</v>
      </c>
      <c r="AG31" s="44">
        <f t="shared" si="9"/>
        <v>20889.089987841962</v>
      </c>
    </row>
    <row r="32" spans="1:35" x14ac:dyDescent="0.25">
      <c r="R32" s="6" t="s">
        <v>33</v>
      </c>
      <c r="S32" s="5">
        <v>-10000</v>
      </c>
      <c r="T32" s="5">
        <v>-2000</v>
      </c>
      <c r="U32" s="5">
        <v>-2000</v>
      </c>
      <c r="V32" s="5">
        <v>-2000</v>
      </c>
      <c r="W32" s="5">
        <v>-2000</v>
      </c>
      <c r="X32" s="5">
        <v>-2000</v>
      </c>
      <c r="Z32" s="44">
        <f t="shared" si="7"/>
        <v>-10000</v>
      </c>
      <c r="AA32" s="44">
        <f t="shared" si="3"/>
        <v>-2199</v>
      </c>
      <c r="AB32" s="44">
        <f t="shared" si="4"/>
        <v>-2417.8004999999998</v>
      </c>
      <c r="AC32" s="44">
        <f t="shared" si="5"/>
        <v>-2658.3716497499995</v>
      </c>
      <c r="AD32" s="44">
        <f t="shared" si="6"/>
        <v>-2922.8796289001243</v>
      </c>
      <c r="AE32" s="44">
        <f t="shared" si="8"/>
        <v>-3213.7061519756862</v>
      </c>
      <c r="AG32" s="44">
        <f t="shared" si="9"/>
        <v>-23411.757930625812</v>
      </c>
    </row>
    <row r="33" spans="1:35" ht="45" x14ac:dyDescent="0.25">
      <c r="A33" s="12" t="s">
        <v>46</v>
      </c>
      <c r="B33" s="12" t="s">
        <v>26</v>
      </c>
      <c r="C33" s="12" t="s">
        <v>47</v>
      </c>
      <c r="D33" s="12" t="s">
        <v>55</v>
      </c>
      <c r="E33" t="s">
        <v>48</v>
      </c>
      <c r="F33" s="12" t="s">
        <v>56</v>
      </c>
      <c r="G33" s="12" t="s">
        <v>50</v>
      </c>
      <c r="H33" t="s">
        <v>53</v>
      </c>
      <c r="I33" s="12" t="s">
        <v>57</v>
      </c>
      <c r="J33" s="12"/>
      <c r="K33" s="12" t="s">
        <v>58</v>
      </c>
      <c r="L33" s="12" t="s">
        <v>59</v>
      </c>
      <c r="M33" s="12"/>
      <c r="N33" s="12"/>
      <c r="O33" s="12"/>
      <c r="P33" s="12"/>
      <c r="Q33" s="13"/>
      <c r="Z33" s="44">
        <f t="shared" si="7"/>
        <v>0</v>
      </c>
      <c r="AA33" s="44">
        <f t="shared" si="3"/>
        <v>0</v>
      </c>
      <c r="AB33" s="44">
        <f t="shared" si="4"/>
        <v>0</v>
      </c>
      <c r="AC33" s="44">
        <f t="shared" si="5"/>
        <v>0</v>
      </c>
      <c r="AD33" s="44">
        <f t="shared" si="6"/>
        <v>0</v>
      </c>
      <c r="AE33" s="44">
        <f t="shared" si="8"/>
        <v>0</v>
      </c>
      <c r="AG33" s="44">
        <f t="shared" si="9"/>
        <v>0</v>
      </c>
      <c r="AI33" t="s">
        <v>111</v>
      </c>
    </row>
    <row r="34" spans="1:35" x14ac:dyDescent="0.25">
      <c r="A34">
        <v>5</v>
      </c>
      <c r="B34">
        <v>10</v>
      </c>
      <c r="C34">
        <f>A34*B34</f>
        <v>50</v>
      </c>
      <c r="D34">
        <f>C34*A39</f>
        <v>200000</v>
      </c>
      <c r="E34" s="11">
        <v>1920</v>
      </c>
      <c r="F34">
        <f>E34*D34*A37</f>
        <v>56832000000</v>
      </c>
      <c r="G34">
        <f>F34/3600000</f>
        <v>15786.666666666666</v>
      </c>
      <c r="H34">
        <v>9.4850000000000004E-2</v>
      </c>
      <c r="I34">
        <f>20.74</f>
        <v>20.74</v>
      </c>
      <c r="K34" s="4">
        <f>I34+H34*G34</f>
        <v>1518.1053333333334</v>
      </c>
      <c r="L34" s="2">
        <v>0.01</v>
      </c>
      <c r="R34" s="6" t="s">
        <v>34</v>
      </c>
      <c r="T34" s="20">
        <f>-$K$34*(1+$L$34)^T19</f>
        <v>-1533.2863866666667</v>
      </c>
      <c r="U34" s="20">
        <f t="shared" ref="U34:X34" si="13">-$K$34*(1+$L$34)^U19</f>
        <v>-1548.6192505333333</v>
      </c>
      <c r="V34" s="20">
        <f t="shared" si="13"/>
        <v>-1564.1054430386666</v>
      </c>
      <c r="W34" s="20">
        <f t="shared" si="13"/>
        <v>-1579.7464974690536</v>
      </c>
      <c r="X34" s="20">
        <f t="shared" si="13"/>
        <v>-1595.5439624437438</v>
      </c>
      <c r="Z34" s="44">
        <f t="shared" si="7"/>
        <v>0</v>
      </c>
      <c r="AA34" s="44">
        <f t="shared" si="3"/>
        <v>-1685.8483821399998</v>
      </c>
      <c r="AB34" s="44">
        <f t="shared" si="4"/>
        <v>-1872.1261991245592</v>
      </c>
      <c r="AC34" s="44">
        <f t="shared" si="5"/>
        <v>-2078.9867834968268</v>
      </c>
      <c r="AD34" s="44">
        <f t="shared" si="6"/>
        <v>-2308.7044281393091</v>
      </c>
      <c r="AE34" s="44">
        <f t="shared" si="8"/>
        <v>-2563.8047239265616</v>
      </c>
      <c r="AG34" s="44">
        <f t="shared" si="9"/>
        <v>-10509.470516827256</v>
      </c>
      <c r="AI34" s="45">
        <f>-AI27/AI24</f>
        <v>1.9502483960156423</v>
      </c>
    </row>
    <row r="35" spans="1:35" x14ac:dyDescent="0.25">
      <c r="Z35" s="44">
        <f t="shared" si="7"/>
        <v>0</v>
      </c>
      <c r="AA35" s="44">
        <f t="shared" si="3"/>
        <v>0</v>
      </c>
      <c r="AB35" s="44">
        <f t="shared" si="4"/>
        <v>0</v>
      </c>
      <c r="AC35" s="44">
        <f t="shared" si="5"/>
        <v>0</v>
      </c>
      <c r="AD35" s="44">
        <f t="shared" si="6"/>
        <v>0</v>
      </c>
      <c r="AE35" s="44">
        <f t="shared" si="8"/>
        <v>0</v>
      </c>
      <c r="AG35" s="44">
        <f t="shared" si="9"/>
        <v>0</v>
      </c>
    </row>
    <row r="36" spans="1:35" x14ac:dyDescent="0.25">
      <c r="A36" s="12" t="s">
        <v>45</v>
      </c>
      <c r="Q36" s="6" t="s">
        <v>44</v>
      </c>
      <c r="R36" s="6" t="s">
        <v>35</v>
      </c>
      <c r="T36" s="5">
        <f t="shared" ref="T36:X36" si="14">-$F$38*$F$41-$G$38*$G$41</f>
        <v>-327422</v>
      </c>
      <c r="U36" s="5">
        <f t="shared" si="14"/>
        <v>-327422</v>
      </c>
      <c r="V36" s="5">
        <f t="shared" si="14"/>
        <v>-327422</v>
      </c>
      <c r="W36" s="5">
        <f t="shared" si="14"/>
        <v>-327422</v>
      </c>
      <c r="X36" s="5">
        <f t="shared" si="14"/>
        <v>-327422</v>
      </c>
      <c r="Z36" s="44">
        <f t="shared" si="7"/>
        <v>0</v>
      </c>
      <c r="AA36" s="44">
        <f t="shared" si="3"/>
        <v>-360000.489</v>
      </c>
      <c r="AB36" s="44">
        <f t="shared" si="4"/>
        <v>-395820.53765549994</v>
      </c>
      <c r="AC36" s="44">
        <f t="shared" si="5"/>
        <v>-435204.68115222215</v>
      </c>
      <c r="AD36" s="44">
        <f t="shared" si="6"/>
        <v>-478507.54692686826</v>
      </c>
      <c r="AE36" s="44">
        <f t="shared" si="8"/>
        <v>-526119.04784609156</v>
      </c>
      <c r="AG36" s="44">
        <f t="shared" si="9"/>
        <v>-2195652.3025806816</v>
      </c>
    </row>
    <row r="37" spans="1:35" x14ac:dyDescent="0.25">
      <c r="A37">
        <f>171-23</f>
        <v>148</v>
      </c>
      <c r="F37" t="s">
        <v>73</v>
      </c>
      <c r="G37" t="s">
        <v>74</v>
      </c>
      <c r="J37" s="42"/>
      <c r="Z37" s="44">
        <f t="shared" si="7"/>
        <v>0</v>
      </c>
      <c r="AA37" s="44">
        <f t="shared" si="3"/>
        <v>0</v>
      </c>
      <c r="AB37" s="44">
        <f t="shared" si="4"/>
        <v>0</v>
      </c>
      <c r="AC37" s="44">
        <f t="shared" si="5"/>
        <v>0</v>
      </c>
      <c r="AD37" s="44">
        <f t="shared" si="6"/>
        <v>0</v>
      </c>
      <c r="AE37" s="44">
        <f t="shared" si="8"/>
        <v>0</v>
      </c>
      <c r="AG37" s="44">
        <f t="shared" si="9"/>
        <v>0</v>
      </c>
    </row>
    <row r="38" spans="1:35" ht="45" x14ac:dyDescent="0.25">
      <c r="A38" s="12" t="s">
        <v>54</v>
      </c>
      <c r="B38" s="12" t="s">
        <v>52</v>
      </c>
      <c r="C38" s="12" t="s">
        <v>51</v>
      </c>
      <c r="F38" s="16">
        <v>36982</v>
      </c>
      <c r="G38" s="14">
        <v>89747</v>
      </c>
      <c r="R38" s="6" t="s">
        <v>97</v>
      </c>
      <c r="T38" s="5">
        <f>-$E$31*$C$31</f>
        <v>-80000</v>
      </c>
      <c r="U38" s="5">
        <f t="shared" ref="U38:X38" si="15">-$E$31*$C$31</f>
        <v>-80000</v>
      </c>
      <c r="V38" s="5">
        <f t="shared" si="15"/>
        <v>-80000</v>
      </c>
      <c r="W38" s="5">
        <f t="shared" si="15"/>
        <v>-80000</v>
      </c>
      <c r="X38" s="5">
        <f t="shared" si="15"/>
        <v>-80000</v>
      </c>
      <c r="Z38" s="44">
        <f t="shared" si="7"/>
        <v>0</v>
      </c>
      <c r="AA38" s="44">
        <f t="shared" si="3"/>
        <v>-87960</v>
      </c>
      <c r="AB38" s="44">
        <f t="shared" si="4"/>
        <v>-96712.01999999999</v>
      </c>
      <c r="AC38" s="44">
        <f t="shared" si="5"/>
        <v>-106334.86598999998</v>
      </c>
      <c r="AD38" s="44">
        <f t="shared" si="6"/>
        <v>-116915.18515600498</v>
      </c>
      <c r="AE38" s="44">
        <f t="shared" si="8"/>
        <v>-128548.24607902746</v>
      </c>
      <c r="AG38" s="44">
        <f t="shared" si="9"/>
        <v>-536470.31722503237</v>
      </c>
    </row>
    <row r="39" spans="1:35" x14ac:dyDescent="0.25">
      <c r="A39">
        <f>B39*C39</f>
        <v>4000</v>
      </c>
      <c r="B39">
        <v>16</v>
      </c>
      <c r="C39" s="18">
        <f>5*50</f>
        <v>250</v>
      </c>
      <c r="Q39" s="6" t="s">
        <v>43</v>
      </c>
      <c r="R39" s="6" t="s">
        <v>37</v>
      </c>
      <c r="S39" s="8"/>
      <c r="T39" s="29">
        <f>$A$31*$A$39*$C$34</f>
        <v>12000000</v>
      </c>
      <c r="U39" s="29">
        <f t="shared" ref="U39:X39" si="16">$A$31*$A$39*$C$34</f>
        <v>12000000</v>
      </c>
      <c r="V39" s="29">
        <f t="shared" si="16"/>
        <v>12000000</v>
      </c>
      <c r="W39" s="29">
        <f t="shared" si="16"/>
        <v>12000000</v>
      </c>
      <c r="X39" s="29">
        <f t="shared" si="16"/>
        <v>12000000</v>
      </c>
      <c r="Z39" s="44">
        <f t="shared" si="7"/>
        <v>0</v>
      </c>
      <c r="AA39" s="44">
        <f t="shared" si="3"/>
        <v>13193999.999999998</v>
      </c>
      <c r="AB39" s="44">
        <f t="shared" si="4"/>
        <v>14506802.999999998</v>
      </c>
      <c r="AC39" s="44">
        <f t="shared" si="5"/>
        <v>15950229.898499995</v>
      </c>
      <c r="AD39" s="44">
        <f t="shared" si="6"/>
        <v>17537277.773400746</v>
      </c>
      <c r="AE39" s="44">
        <f t="shared" si="8"/>
        <v>19282236.911854118</v>
      </c>
      <c r="AG39" s="44">
        <f t="shared" si="9"/>
        <v>80470547.583754867</v>
      </c>
      <c r="AI39" s="44">
        <f>SUM(AG24:AG39)</f>
        <v>39210131.608394861</v>
      </c>
    </row>
    <row r="40" spans="1:35" x14ac:dyDescent="0.25">
      <c r="F40" t="s">
        <v>4</v>
      </c>
      <c r="G40" t="s">
        <v>75</v>
      </c>
    </row>
    <row r="41" spans="1:35" x14ac:dyDescent="0.25">
      <c r="F41">
        <v>4</v>
      </c>
      <c r="G41">
        <v>2</v>
      </c>
    </row>
    <row r="42" spans="1:35" ht="15.75" thickBot="1" x14ac:dyDescent="0.3">
      <c r="J42" s="17" t="s">
        <v>78</v>
      </c>
    </row>
    <row r="43" spans="1:35" s="31" customFormat="1" x14ac:dyDescent="0.25">
      <c r="A43" s="30"/>
      <c r="Q43" s="32"/>
      <c r="R43" s="32" t="s">
        <v>102</v>
      </c>
      <c r="S43" s="33"/>
      <c r="T43" s="33"/>
      <c r="U43" s="33"/>
      <c r="V43" s="33"/>
      <c r="W43" s="33"/>
      <c r="X43" s="33"/>
      <c r="Y43" s="33"/>
    </row>
    <row r="44" spans="1:35" s="18" customFormat="1" x14ac:dyDescent="0.25">
      <c r="A44" s="34"/>
      <c r="Q44" s="19"/>
      <c r="R44" s="19"/>
      <c r="S44" s="20"/>
      <c r="T44" s="20"/>
      <c r="U44" s="20"/>
      <c r="V44" s="20"/>
      <c r="W44" s="20"/>
      <c r="X44" s="20"/>
      <c r="Y44" s="20"/>
    </row>
    <row r="45" spans="1:35" s="18" customFormat="1" x14ac:dyDescent="0.25">
      <c r="A45" s="34"/>
      <c r="Q45" s="19"/>
      <c r="R45" s="19" t="s">
        <v>41</v>
      </c>
      <c r="S45" s="21">
        <v>0</v>
      </c>
      <c r="T45" s="21">
        <v>1</v>
      </c>
      <c r="U45" s="21">
        <v>2</v>
      </c>
      <c r="V45" s="21">
        <v>3</v>
      </c>
      <c r="W45" s="21">
        <v>4</v>
      </c>
      <c r="X45" s="21">
        <v>5</v>
      </c>
      <c r="Y45" s="20"/>
      <c r="Z45"/>
      <c r="AA45"/>
      <c r="AB45"/>
      <c r="AC45"/>
      <c r="AD45"/>
      <c r="AE45"/>
      <c r="AF45"/>
      <c r="AG45"/>
      <c r="AH45"/>
      <c r="AI45"/>
    </row>
    <row r="46" spans="1:35" s="18" customFormat="1" x14ac:dyDescent="0.25">
      <c r="A46" s="34"/>
      <c r="Q46" s="19"/>
      <c r="R46" s="19" t="s">
        <v>27</v>
      </c>
      <c r="S46" s="20">
        <f>SUM($S47:S47)</f>
        <v>-700</v>
      </c>
      <c r="T46" s="20">
        <f>SUM($S47:T47)</f>
        <v>681620.6656858573</v>
      </c>
      <c r="U46" s="20">
        <f>SUM($S47:U47)</f>
        <v>1302192.5843704767</v>
      </c>
      <c r="V46" s="20">
        <f>SUM($S47:V47)</f>
        <v>1866603.8871977362</v>
      </c>
      <c r="W46" s="20">
        <f>SUM($S47:W47)</f>
        <v>2379936.9924893132</v>
      </c>
      <c r="X46" s="20">
        <f>SUM($S47:X47)</f>
        <v>2846814.3714734986</v>
      </c>
      <c r="Y46" s="20"/>
      <c r="Z46"/>
      <c r="AA46"/>
      <c r="AB46"/>
      <c r="AC46"/>
      <c r="AD46"/>
      <c r="AE46"/>
      <c r="AF46"/>
      <c r="AG46"/>
      <c r="AH46"/>
      <c r="AI46" s="41"/>
    </row>
    <row r="47" spans="1:35" s="18" customFormat="1" x14ac:dyDescent="0.25">
      <c r="A47" s="34"/>
      <c r="Q47" s="19"/>
      <c r="R47" s="19" t="s">
        <v>36</v>
      </c>
      <c r="S47" s="20">
        <f>S48*(1+$F$2)^-S45</f>
        <v>-700</v>
      </c>
      <c r="T47" s="20">
        <f t="shared" ref="T47" si="17">T48*(1+$F$2)^-T45</f>
        <v>682320.6656858573</v>
      </c>
      <c r="U47" s="20">
        <f t="shared" ref="U47" si="18">U48*(1+$F$2)^-U45</f>
        <v>620571.91868461936</v>
      </c>
      <c r="V47" s="20">
        <f t="shared" ref="V47" si="19">V48*(1+$F$2)^-V45</f>
        <v>564411.30282725953</v>
      </c>
      <c r="W47" s="20">
        <f t="shared" ref="W47" si="20">W48*(1+$F$2)^-W45</f>
        <v>513333.10529157688</v>
      </c>
      <c r="X47" s="20">
        <f t="shared" ref="X47" si="21">X48*(1+$F$2)^-X45</f>
        <v>466877.37898418546</v>
      </c>
      <c r="Y47" s="20"/>
      <c r="Z47"/>
      <c r="AA47"/>
      <c r="AB47"/>
      <c r="AC47"/>
      <c r="AD47"/>
      <c r="AE47"/>
      <c r="AF47"/>
      <c r="AG47"/>
      <c r="AH47"/>
      <c r="AI47"/>
    </row>
    <row r="48" spans="1:35" s="18" customFormat="1" x14ac:dyDescent="0.25">
      <c r="A48" s="34"/>
      <c r="Q48" s="19"/>
      <c r="R48" s="19" t="s">
        <v>28</v>
      </c>
      <c r="S48" s="20">
        <f>SUM(S49:S66)</f>
        <v>-700</v>
      </c>
      <c r="T48" s="20">
        <f>SUM(T49:T66)</f>
        <v>750211.57192160003</v>
      </c>
      <c r="U48" s="20">
        <f>SUM(U49:U66)</f>
        <v>750209.54764081596</v>
      </c>
      <c r="V48" s="20">
        <f>SUM(V49:V66)</f>
        <v>750207.5031172242</v>
      </c>
      <c r="W48" s="20">
        <f>SUM(W49:W66)</f>
        <v>750205.43814839644</v>
      </c>
      <c r="X48" s="20">
        <f>SUM(X49:X66)</f>
        <v>750203.35252988036</v>
      </c>
      <c r="Y48" s="20"/>
      <c r="Z48"/>
      <c r="AA48"/>
      <c r="AB48"/>
      <c r="AC48"/>
      <c r="AD48"/>
      <c r="AE48"/>
      <c r="AF48"/>
      <c r="AG48"/>
      <c r="AH48"/>
      <c r="AI48"/>
    </row>
    <row r="49" spans="1:35" s="18" customFormat="1" x14ac:dyDescent="0.25">
      <c r="A49" s="34"/>
      <c r="Q49" s="19"/>
      <c r="R49" s="19"/>
      <c r="S49" s="20"/>
      <c r="T49" s="20"/>
      <c r="U49" s="20"/>
      <c r="V49" s="20"/>
      <c r="W49" s="20"/>
      <c r="X49" s="20"/>
      <c r="Y49" s="20"/>
      <c r="Z49"/>
      <c r="AA49"/>
      <c r="AB49"/>
      <c r="AC49"/>
      <c r="AD49"/>
      <c r="AE49"/>
      <c r="AG49" t="s">
        <v>108</v>
      </c>
      <c r="AH49"/>
      <c r="AI49" t="s">
        <v>109</v>
      </c>
    </row>
    <row r="50" spans="1:35" s="18" customFormat="1" x14ac:dyDescent="0.25">
      <c r="A50" s="34"/>
      <c r="Q50" s="19"/>
      <c r="R50" s="19" t="s">
        <v>29</v>
      </c>
      <c r="S50" s="20">
        <f>-G57*B60</f>
        <v>-700</v>
      </c>
      <c r="T50" s="20">
        <f>-$A$53*T65</f>
        <v>-676800</v>
      </c>
      <c r="U50" s="20">
        <f t="shared" ref="U50:X50" si="22">-$A$53*U65</f>
        <v>-676800</v>
      </c>
      <c r="V50" s="20">
        <f t="shared" si="22"/>
        <v>-676800</v>
      </c>
      <c r="W50" s="20">
        <f t="shared" si="22"/>
        <v>-676800</v>
      </c>
      <c r="X50" s="20">
        <f t="shared" si="22"/>
        <v>-676800</v>
      </c>
      <c r="Y50" s="20"/>
      <c r="Z50" s="44">
        <f>S50*(1+$F$2)^S$71</f>
        <v>-700</v>
      </c>
      <c r="AA50" s="44">
        <f t="shared" ref="AA50:AA65" si="23">T50*(1+$F$2)^T$71</f>
        <v>-744141.6</v>
      </c>
      <c r="AB50" s="44">
        <f t="shared" ref="AB50:AB65" si="24">U50*(1+$F$2)^U$71</f>
        <v>-818183.68919999991</v>
      </c>
      <c r="AC50" s="44">
        <f t="shared" ref="AC50:AC65" si="25">V50*(1+$F$2)^V$71</f>
        <v>-899592.96627539978</v>
      </c>
      <c r="AD50" s="44">
        <f t="shared" ref="AD50:AD65" si="26">W50*(1+$F$2)^W$71</f>
        <v>-989102.46641980216</v>
      </c>
      <c r="AE50" s="44">
        <f>X50*(1+$F$2)^X$71</f>
        <v>-1087518.1618285724</v>
      </c>
      <c r="AG50" s="44">
        <f>SUM(Z50:AE50)</f>
        <v>-4539238.8837237749</v>
      </c>
      <c r="AH50"/>
      <c r="AI50" s="16">
        <f>AG50+AG54+AG56+AG60+AG64</f>
        <v>-4626367.7372130835</v>
      </c>
    </row>
    <row r="51" spans="1:35" s="18" customFormat="1" x14ac:dyDescent="0.25">
      <c r="A51" s="34"/>
      <c r="Q51" s="19"/>
      <c r="R51" s="19"/>
      <c r="S51" s="20"/>
      <c r="T51" s="20"/>
      <c r="U51" s="20"/>
      <c r="V51" s="20"/>
      <c r="W51" s="20"/>
      <c r="X51" s="20"/>
      <c r="Y51" s="20"/>
      <c r="Z51" s="44"/>
      <c r="AA51" s="44"/>
      <c r="AB51" s="44"/>
      <c r="AC51" s="44"/>
      <c r="AD51" s="44"/>
      <c r="AE51" s="44"/>
      <c r="AG51" s="44"/>
      <c r="AH51"/>
      <c r="AI51"/>
    </row>
    <row r="52" spans="1:35" s="18" customFormat="1" x14ac:dyDescent="0.25">
      <c r="A52" s="34" t="s">
        <v>69</v>
      </c>
      <c r="Q52" s="19" t="s">
        <v>42</v>
      </c>
      <c r="R52" s="19" t="s">
        <v>30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/>
      <c r="Z52" s="44"/>
      <c r="AA52" s="44"/>
      <c r="AB52" s="44"/>
      <c r="AC52" s="44"/>
      <c r="AD52" s="44"/>
      <c r="AE52" s="44"/>
      <c r="AG52" s="44"/>
      <c r="AH52"/>
      <c r="AI52" t="s">
        <v>110</v>
      </c>
    </row>
    <row r="53" spans="1:35" s="18" customFormat="1" x14ac:dyDescent="0.25">
      <c r="A53">
        <v>0.47</v>
      </c>
      <c r="Q53" s="19"/>
      <c r="R53" s="19"/>
      <c r="S53" s="20"/>
      <c r="T53" s="20"/>
      <c r="U53" s="20"/>
      <c r="V53" s="20"/>
      <c r="W53" s="20"/>
      <c r="X53" s="20"/>
      <c r="Y53" s="20"/>
      <c r="Z53" s="44"/>
      <c r="AA53" s="44"/>
      <c r="AB53" s="44"/>
      <c r="AC53" s="44"/>
      <c r="AD53" s="44"/>
      <c r="AE53" s="44"/>
      <c r="AG53" s="44"/>
      <c r="AH53"/>
      <c r="AI53" s="16">
        <f>AG65</f>
        <v>9656465.7100505829</v>
      </c>
    </row>
    <row r="54" spans="1:35" s="18" customFormat="1" x14ac:dyDescent="0.25">
      <c r="A54" s="34"/>
      <c r="N54" s="18" t="s">
        <v>86</v>
      </c>
      <c r="Q54" s="19" t="s">
        <v>64</v>
      </c>
      <c r="R54" s="19" t="s">
        <v>31</v>
      </c>
      <c r="S54" s="20">
        <v>0</v>
      </c>
      <c r="T54" s="20">
        <f t="shared" ref="T54:X54" si="27">-1.5 * 30 * 50</f>
        <v>-2250</v>
      </c>
      <c r="U54" s="20">
        <f t="shared" si="27"/>
        <v>-2250</v>
      </c>
      <c r="V54" s="20">
        <f t="shared" si="27"/>
        <v>-2250</v>
      </c>
      <c r="W54" s="20">
        <f t="shared" si="27"/>
        <v>-2250</v>
      </c>
      <c r="X54" s="20">
        <f t="shared" si="27"/>
        <v>-2250</v>
      </c>
      <c r="Y54" s="20"/>
      <c r="Z54" s="44">
        <f t="shared" ref="Z51:Z65" si="28">S54*(1+$F$2)^S$71</f>
        <v>0</v>
      </c>
      <c r="AA54" s="44">
        <f t="shared" si="23"/>
        <v>-2473.875</v>
      </c>
      <c r="AB54" s="44">
        <f t="shared" si="24"/>
        <v>-2720.0255625</v>
      </c>
      <c r="AC54" s="44">
        <f t="shared" si="25"/>
        <v>-2990.6681059687494</v>
      </c>
      <c r="AD54" s="44">
        <f t="shared" si="26"/>
        <v>-3288.23958251264</v>
      </c>
      <c r="AE54" s="44">
        <f t="shared" ref="AE51:AE65" si="29">X54*(1+$F$2)^X$71</f>
        <v>-3615.4194209726475</v>
      </c>
      <c r="AG54" s="44">
        <f>SUM(Z54:AE54)</f>
        <v>-15088.227671954039</v>
      </c>
      <c r="AH54"/>
      <c r="AI54"/>
    </row>
    <row r="55" spans="1:35" s="18" customFormat="1" x14ac:dyDescent="0.25">
      <c r="A55" s="34"/>
      <c r="L55" s="18" t="s">
        <v>61</v>
      </c>
      <c r="Q55" s="19"/>
      <c r="R55" s="19"/>
      <c r="S55" s="20"/>
      <c r="T55" s="20"/>
      <c r="U55" s="20"/>
      <c r="V55" s="20"/>
      <c r="W55" s="20"/>
      <c r="X55" s="20"/>
      <c r="Y55" s="20"/>
      <c r="Z55" s="44"/>
      <c r="AA55" s="44"/>
      <c r="AB55" s="44"/>
      <c r="AC55" s="44"/>
      <c r="AD55" s="44"/>
      <c r="AE55" s="44"/>
      <c r="AG55" s="44">
        <f>SUM(Z55:AE55)</f>
        <v>0</v>
      </c>
      <c r="AH55"/>
      <c r="AI55"/>
    </row>
    <row r="56" spans="1:35" s="18" customFormat="1" x14ac:dyDescent="0.25">
      <c r="A56" s="34" t="s">
        <v>62</v>
      </c>
      <c r="C56" s="18" t="s">
        <v>96</v>
      </c>
      <c r="D56" s="18" t="s">
        <v>98</v>
      </c>
      <c r="E56" s="18" t="s">
        <v>99</v>
      </c>
      <c r="G56" s="18" t="s">
        <v>100</v>
      </c>
      <c r="L56" s="18">
        <v>936</v>
      </c>
      <c r="Q56" s="19" t="s">
        <v>65</v>
      </c>
      <c r="R56" s="19" t="s">
        <v>32</v>
      </c>
      <c r="S56" s="20">
        <v>0</v>
      </c>
      <c r="T56" s="20">
        <f t="shared" ref="T56:X56" si="30">-$L$56</f>
        <v>-936</v>
      </c>
      <c r="U56" s="20">
        <f t="shared" si="30"/>
        <v>-936</v>
      </c>
      <c r="V56" s="20">
        <f t="shared" si="30"/>
        <v>-936</v>
      </c>
      <c r="W56" s="20">
        <f t="shared" si="30"/>
        <v>-936</v>
      </c>
      <c r="X56" s="20">
        <f t="shared" si="30"/>
        <v>-936</v>
      </c>
      <c r="Y56" s="20"/>
      <c r="Z56" s="44">
        <f t="shared" si="28"/>
        <v>0</v>
      </c>
      <c r="AA56" s="44">
        <f t="shared" si="23"/>
        <v>-1029.1319999999998</v>
      </c>
      <c r="AB56" s="44">
        <f t="shared" si="24"/>
        <v>-1131.530634</v>
      </c>
      <c r="AC56" s="44">
        <f t="shared" si="25"/>
        <v>-1244.1179320829997</v>
      </c>
      <c r="AD56" s="44">
        <f t="shared" si="26"/>
        <v>-1367.9076663252583</v>
      </c>
      <c r="AE56" s="44">
        <f t="shared" si="29"/>
        <v>-1504.0144791246212</v>
      </c>
      <c r="AG56" s="44">
        <f>SUM(Z56:AE56)</f>
        <v>-6276.7027115328792</v>
      </c>
      <c r="AH56"/>
      <c r="AI56" s="16">
        <f>AI53+AI50</f>
        <v>5030097.9728374993</v>
      </c>
    </row>
    <row r="57" spans="1:35" s="18" customFormat="1" x14ac:dyDescent="0.25">
      <c r="A57" s="35">
        <v>60</v>
      </c>
      <c r="C57" s="22">
        <v>2</v>
      </c>
      <c r="D57" s="18">
        <v>5</v>
      </c>
      <c r="E57" s="18">
        <f>D60/D57</f>
        <v>4800</v>
      </c>
      <c r="G57" s="22">
        <v>700</v>
      </c>
      <c r="Q57" s="19"/>
      <c r="R57" s="19"/>
      <c r="S57" s="20"/>
      <c r="T57" s="20"/>
      <c r="U57" s="20"/>
      <c r="V57" s="20"/>
      <c r="W57" s="20"/>
      <c r="X57" s="20"/>
      <c r="Y57" s="20"/>
      <c r="Z57" s="44"/>
      <c r="AA57" s="44"/>
      <c r="AB57" s="44"/>
      <c r="AC57" s="44"/>
      <c r="AD57" s="44"/>
      <c r="AE57" s="44"/>
      <c r="AG57" s="44"/>
      <c r="AH57"/>
      <c r="AI57"/>
    </row>
    <row r="58" spans="1:35" s="18" customFormat="1" x14ac:dyDescent="0.25">
      <c r="A58" s="34"/>
      <c r="Q58" s="19" t="s">
        <v>60</v>
      </c>
      <c r="R58" s="19" t="s">
        <v>33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/>
      <c r="Z58" s="44"/>
      <c r="AA58" s="44"/>
      <c r="AB58" s="44"/>
      <c r="AC58" s="44"/>
      <c r="AD58" s="44"/>
      <c r="AE58" s="44"/>
      <c r="AG58" s="44"/>
      <c r="AH58"/>
      <c r="AI58"/>
    </row>
    <row r="59" spans="1:35" s="23" customFormat="1" ht="45" x14ac:dyDescent="0.25">
      <c r="A59" s="36" t="s">
        <v>46</v>
      </c>
      <c r="B59" s="23" t="s">
        <v>26</v>
      </c>
      <c r="C59" s="23" t="s">
        <v>47</v>
      </c>
      <c r="D59" s="23" t="s">
        <v>55</v>
      </c>
      <c r="E59" s="18" t="s">
        <v>48</v>
      </c>
      <c r="F59" s="23" t="s">
        <v>56</v>
      </c>
      <c r="G59" s="23" t="s">
        <v>50</v>
      </c>
      <c r="H59" s="18" t="s">
        <v>53</v>
      </c>
      <c r="I59" s="23" t="s">
        <v>57</v>
      </c>
      <c r="K59" s="23" t="s">
        <v>58</v>
      </c>
      <c r="L59" s="23" t="s">
        <v>59</v>
      </c>
      <c r="Q59" s="24"/>
      <c r="R59" s="24"/>
      <c r="S59" s="25"/>
      <c r="T59" s="25"/>
      <c r="U59" s="25"/>
      <c r="V59" s="25"/>
      <c r="W59" s="25"/>
      <c r="X59" s="25"/>
      <c r="Y59" s="25"/>
      <c r="Z59" s="44">
        <f t="shared" si="28"/>
        <v>0</v>
      </c>
      <c r="AA59" s="44">
        <f t="shared" si="23"/>
        <v>0</v>
      </c>
      <c r="AB59" s="44">
        <f t="shared" si="24"/>
        <v>0</v>
      </c>
      <c r="AC59" s="44">
        <f t="shared" si="25"/>
        <v>0</v>
      </c>
      <c r="AD59" s="44">
        <f t="shared" si="26"/>
        <v>0</v>
      </c>
      <c r="AE59" s="44">
        <f t="shared" si="29"/>
        <v>0</v>
      </c>
      <c r="AG59" s="44">
        <f>SUM(Z59:AE59)</f>
        <v>0</v>
      </c>
      <c r="AH59"/>
      <c r="AI59" t="s">
        <v>111</v>
      </c>
    </row>
    <row r="60" spans="1:35" s="18" customFormat="1" x14ac:dyDescent="0.25">
      <c r="A60" s="34">
        <v>5</v>
      </c>
      <c r="B60" s="18">
        <v>1</v>
      </c>
      <c r="C60" s="18">
        <f>A60*B60</f>
        <v>5</v>
      </c>
      <c r="D60" s="18">
        <f>C60*A65</f>
        <v>24000</v>
      </c>
      <c r="E60" s="26">
        <v>1920</v>
      </c>
      <c r="F60" s="18">
        <f>E60*D60*A63</f>
        <v>6819840000</v>
      </c>
      <c r="G60" s="18">
        <f>F60/3600000</f>
        <v>1894.4</v>
      </c>
      <c r="H60" s="18">
        <v>9.4850000000000004E-2</v>
      </c>
      <c r="I60" s="18">
        <f>20.74</f>
        <v>20.74</v>
      </c>
      <c r="K60" s="27">
        <f>I60+H60*G60</f>
        <v>200.42384000000001</v>
      </c>
      <c r="L60" s="28">
        <v>0.01</v>
      </c>
      <c r="Q60" s="19"/>
      <c r="R60" s="19" t="s">
        <v>63</v>
      </c>
      <c r="S60" s="20">
        <v>0</v>
      </c>
      <c r="T60" s="20">
        <f t="shared" ref="T60:X60" si="31">-$K$60*(1+$L$60)^T45</f>
        <v>-202.4280784</v>
      </c>
      <c r="U60" s="20">
        <f t="shared" si="31"/>
        <v>-204.45235918400002</v>
      </c>
      <c r="V60" s="20">
        <f t="shared" si="31"/>
        <v>-206.49688277583999</v>
      </c>
      <c r="W60" s="20">
        <f t="shared" si="31"/>
        <v>-208.56185160359843</v>
      </c>
      <c r="X60" s="20">
        <f t="shared" si="31"/>
        <v>-210.64747011963439</v>
      </c>
      <c r="Y60" s="20"/>
      <c r="Z60" s="44">
        <f t="shared" si="28"/>
        <v>0</v>
      </c>
      <c r="AA60" s="44">
        <f t="shared" si="23"/>
        <v>-222.5696722008</v>
      </c>
      <c r="AB60" s="44">
        <f t="shared" si="24"/>
        <v>-247.1625081306274</v>
      </c>
      <c r="AC60" s="44">
        <f t="shared" si="25"/>
        <v>-274.472729466521</v>
      </c>
      <c r="AD60" s="44">
        <f t="shared" si="26"/>
        <v>-304.80059370892428</v>
      </c>
      <c r="AE60" s="44">
        <f t="shared" si="29"/>
        <v>-338.47953531079179</v>
      </c>
      <c r="AG60" s="44">
        <f>SUM(Z60:AE60)</f>
        <v>-1387.4850388176644</v>
      </c>
      <c r="AH60"/>
      <c r="AI60" s="45">
        <f>-AI53/AI50</f>
        <v>2.0872672166496695</v>
      </c>
    </row>
    <row r="61" spans="1:35" s="18" customFormat="1" x14ac:dyDescent="0.25">
      <c r="A61" s="34"/>
      <c r="Q61" s="19"/>
      <c r="R61" s="19"/>
      <c r="S61" s="20"/>
      <c r="T61" s="20"/>
      <c r="U61" s="20"/>
      <c r="V61" s="20"/>
      <c r="W61" s="20"/>
      <c r="X61" s="20"/>
      <c r="Y61" s="20"/>
      <c r="Z61" s="44"/>
      <c r="AA61" s="44"/>
      <c r="AB61" s="44"/>
      <c r="AC61" s="44"/>
      <c r="AD61" s="44"/>
      <c r="AE61" s="44"/>
      <c r="AG61" s="44"/>
      <c r="AH61"/>
      <c r="AI61"/>
    </row>
    <row r="62" spans="1:35" s="18" customFormat="1" x14ac:dyDescent="0.25">
      <c r="A62" s="36" t="s">
        <v>45</v>
      </c>
      <c r="Q62" s="19" t="s">
        <v>44</v>
      </c>
      <c r="R62" s="19" t="s">
        <v>35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/>
      <c r="Z62" s="44"/>
      <c r="AA62" s="44"/>
      <c r="AB62" s="44"/>
      <c r="AC62" s="44"/>
      <c r="AD62" s="44"/>
      <c r="AE62" s="44"/>
      <c r="AG62" s="44"/>
      <c r="AH62"/>
      <c r="AI62"/>
    </row>
    <row r="63" spans="1:35" s="18" customFormat="1" x14ac:dyDescent="0.25">
      <c r="A63" s="34">
        <f>171-23</f>
        <v>148</v>
      </c>
      <c r="Q63" s="19"/>
      <c r="R63" s="19"/>
      <c r="S63" s="20"/>
      <c r="T63" s="20"/>
      <c r="U63" s="20"/>
      <c r="V63" s="20"/>
      <c r="W63" s="20"/>
      <c r="X63" s="20"/>
      <c r="Y63" s="20"/>
      <c r="Z63" s="44"/>
      <c r="AA63" s="44"/>
      <c r="AB63" s="44"/>
      <c r="AC63" s="44"/>
      <c r="AD63" s="44"/>
      <c r="AE63" s="44"/>
      <c r="AG63" s="44"/>
      <c r="AH63"/>
      <c r="AI63"/>
    </row>
    <row r="64" spans="1:35" s="18" customFormat="1" ht="45" x14ac:dyDescent="0.25">
      <c r="A64" s="36" t="s">
        <v>54</v>
      </c>
      <c r="B64" s="23" t="s">
        <v>52</v>
      </c>
      <c r="C64" s="23" t="s">
        <v>51</v>
      </c>
      <c r="L64" s="43"/>
      <c r="M64" s="43"/>
      <c r="N64" s="43"/>
      <c r="O64" s="43"/>
      <c r="Q64" s="19"/>
      <c r="R64" s="19" t="s">
        <v>97</v>
      </c>
      <c r="S64" s="20">
        <v>0</v>
      </c>
      <c r="T64" s="20">
        <f t="shared" ref="T64:X64" si="32">-$E$57*$C$57</f>
        <v>-9600</v>
      </c>
      <c r="U64" s="20">
        <f t="shared" si="32"/>
        <v>-9600</v>
      </c>
      <c r="V64" s="20">
        <f t="shared" si="32"/>
        <v>-9600</v>
      </c>
      <c r="W64" s="20">
        <f t="shared" si="32"/>
        <v>-9600</v>
      </c>
      <c r="X64" s="20">
        <f t="shared" si="32"/>
        <v>-9600</v>
      </c>
      <c r="Y64" s="20"/>
      <c r="Z64" s="44">
        <f t="shared" si="28"/>
        <v>0</v>
      </c>
      <c r="AA64" s="44">
        <f t="shared" si="23"/>
        <v>-10555.199999999999</v>
      </c>
      <c r="AB64" s="44">
        <f t="shared" si="24"/>
        <v>-11605.4424</v>
      </c>
      <c r="AC64" s="44">
        <f t="shared" si="25"/>
        <v>-12760.183918799998</v>
      </c>
      <c r="AD64" s="44">
        <f t="shared" si="26"/>
        <v>-14029.822218720597</v>
      </c>
      <c r="AE64" s="44">
        <f t="shared" si="29"/>
        <v>-15425.789529483294</v>
      </c>
      <c r="AG64" s="44">
        <f>SUM(Z64:AE64)</f>
        <v>-64376.438067003888</v>
      </c>
      <c r="AH64"/>
      <c r="AI64"/>
    </row>
    <row r="65" spans="1:35" s="18" customFormat="1" x14ac:dyDescent="0.25">
      <c r="A65" s="34">
        <f>B65*C65</f>
        <v>4800</v>
      </c>
      <c r="B65">
        <v>16</v>
      </c>
      <c r="C65" s="18">
        <f>6*50</f>
        <v>300</v>
      </c>
      <c r="Q65" s="19"/>
      <c r="R65" s="19" t="s">
        <v>37</v>
      </c>
      <c r="S65" s="29">
        <v>0</v>
      </c>
      <c r="T65" s="29">
        <f t="shared" ref="T65:X65" si="33">$A$57*$A$65*$C$60</f>
        <v>1440000</v>
      </c>
      <c r="U65" s="29">
        <f t="shared" si="33"/>
        <v>1440000</v>
      </c>
      <c r="V65" s="29">
        <f t="shared" si="33"/>
        <v>1440000</v>
      </c>
      <c r="W65" s="29">
        <f t="shared" si="33"/>
        <v>1440000</v>
      </c>
      <c r="X65" s="29">
        <f t="shared" si="33"/>
        <v>1440000</v>
      </c>
      <c r="Y65" s="20"/>
      <c r="Z65" s="44">
        <f t="shared" si="28"/>
        <v>0</v>
      </c>
      <c r="AA65" s="44">
        <f t="shared" si="23"/>
        <v>1583280</v>
      </c>
      <c r="AB65" s="44">
        <f t="shared" si="24"/>
        <v>1740816.3599999999</v>
      </c>
      <c r="AC65" s="44">
        <f t="shared" si="25"/>
        <v>1914027.5878199995</v>
      </c>
      <c r="AD65" s="44">
        <f t="shared" si="26"/>
        <v>2104473.3328080894</v>
      </c>
      <c r="AE65" s="44">
        <f t="shared" si="29"/>
        <v>2313868.429422494</v>
      </c>
      <c r="AG65" s="44">
        <f>SUM(Z65:AE65)</f>
        <v>9656465.7100505829</v>
      </c>
      <c r="AH65"/>
      <c r="AI65"/>
    </row>
    <row r="66" spans="1:35" s="18" customFormat="1" x14ac:dyDescent="0.25">
      <c r="A66" s="34"/>
      <c r="Q66" s="19"/>
      <c r="R66" s="19"/>
      <c r="S66" s="20"/>
      <c r="T66" s="20"/>
      <c r="U66" s="20"/>
      <c r="V66" s="20"/>
      <c r="W66" s="20"/>
      <c r="X66" s="20"/>
      <c r="Y66" s="20"/>
    </row>
    <row r="67" spans="1:35" s="38" customFormat="1" ht="15.75" thickBot="1" x14ac:dyDescent="0.3">
      <c r="A67" s="37"/>
      <c r="Q67" s="39"/>
      <c r="R67" s="39"/>
      <c r="S67" s="40"/>
      <c r="T67" s="40"/>
      <c r="U67" s="40"/>
      <c r="V67" s="40"/>
      <c r="W67" s="40"/>
      <c r="X67" s="40"/>
      <c r="Y67" s="40"/>
    </row>
    <row r="68" spans="1:35" x14ac:dyDescent="0.25">
      <c r="J68" s="17" t="s">
        <v>78</v>
      </c>
    </row>
    <row r="69" spans="1:35" x14ac:dyDescent="0.25">
      <c r="R69" s="6" t="s">
        <v>40</v>
      </c>
    </row>
    <row r="71" spans="1:35" x14ac:dyDescent="0.25">
      <c r="R71" s="6" t="s">
        <v>41</v>
      </c>
      <c r="S71" s="10">
        <v>0</v>
      </c>
      <c r="T71" s="10">
        <v>1</v>
      </c>
      <c r="U71" s="10">
        <v>2</v>
      </c>
      <c r="V71" s="10">
        <v>3</v>
      </c>
      <c r="W71" s="10">
        <v>4</v>
      </c>
      <c r="X71" s="10">
        <v>5</v>
      </c>
      <c r="Z71" t="s">
        <v>107</v>
      </c>
    </row>
    <row r="72" spans="1:35" x14ac:dyDescent="0.25">
      <c r="R72" s="6" t="s">
        <v>27</v>
      </c>
      <c r="S72" s="5">
        <f>SUM($S73:S73)</f>
        <v>-154496.5</v>
      </c>
      <c r="T72" s="5">
        <f>SUM($S73:T73)</f>
        <v>14268.97287007593</v>
      </c>
      <c r="U72" s="5">
        <f>SUM($S73:U73)</f>
        <v>167343.31615575938</v>
      </c>
      <c r="V72" s="5">
        <f>SUM($S73:V73)</f>
        <v>306180.58225018473</v>
      </c>
      <c r="W72" s="5">
        <f>SUM($S73:W73)</f>
        <v>432100.4645265009</v>
      </c>
      <c r="X72" s="5">
        <f>SUM($S73:X73)</f>
        <v>560614.37400650105</v>
      </c>
      <c r="AI72" s="41"/>
    </row>
    <row r="73" spans="1:35" x14ac:dyDescent="0.25">
      <c r="A73" t="s">
        <v>67</v>
      </c>
      <c r="B73" t="s">
        <v>68</v>
      </c>
      <c r="D73" t="s">
        <v>69</v>
      </c>
      <c r="R73" s="6" t="s">
        <v>36</v>
      </c>
      <c r="S73" s="5">
        <f>S74*(1+$F$2)^-S71</f>
        <v>-154496.5</v>
      </c>
      <c r="T73" s="5">
        <f t="shared" ref="T73" si="34">T74*(1+$F$2)^-T71</f>
        <v>168765.47287007593</v>
      </c>
      <c r="U73" s="5">
        <f t="shared" ref="U73" si="35">U74*(1+$F$2)^-U71</f>
        <v>153074.34328568346</v>
      </c>
      <c r="V73" s="5">
        <f t="shared" ref="V73" si="36">V74*(1+$F$2)^-V71</f>
        <v>138837.26609442531</v>
      </c>
      <c r="W73" s="5">
        <f t="shared" ref="W73" si="37">W74*(1+$F$2)^-W71</f>
        <v>125919.88227631617</v>
      </c>
      <c r="X73" s="5">
        <f t="shared" ref="X73" si="38">X74*(1+$F$2)^-X71</f>
        <v>128513.90948000016</v>
      </c>
    </row>
    <row r="74" spans="1:35" x14ac:dyDescent="0.25">
      <c r="A74" s="4">
        <v>1500</v>
      </c>
      <c r="B74" s="4">
        <f>A74/907.185</f>
        <v>1.6534664925015297</v>
      </c>
      <c r="D74">
        <v>0.47</v>
      </c>
      <c r="R74" s="6" t="s">
        <v>28</v>
      </c>
      <c r="S74" s="5">
        <f>SUM(S75:S95)</f>
        <v>-154496.5</v>
      </c>
      <c r="T74" s="5">
        <f t="shared" ref="T74:X74" si="39">SUM(T75:T95)</f>
        <v>185557.63742064848</v>
      </c>
      <c r="U74" s="5">
        <f t="shared" si="39"/>
        <v>185051.61186664854</v>
      </c>
      <c r="V74" s="5">
        <f t="shared" si="39"/>
        <v>184540.52605710854</v>
      </c>
      <c r="W74" s="5">
        <f t="shared" si="39"/>
        <v>184024.32938947319</v>
      </c>
      <c r="X74" s="5">
        <f t="shared" si="39"/>
        <v>206502.97075516148</v>
      </c>
    </row>
    <row r="75" spans="1:35" x14ac:dyDescent="0.25">
      <c r="AG75" t="s">
        <v>108</v>
      </c>
      <c r="AI75" t="s">
        <v>109</v>
      </c>
    </row>
    <row r="76" spans="1:35" x14ac:dyDescent="0.25">
      <c r="R76" s="6" t="s">
        <v>66</v>
      </c>
      <c r="Z76" s="44">
        <f>S76*(1+$F$2)^S$71</f>
        <v>0</v>
      </c>
      <c r="AA76" s="44">
        <f t="shared" ref="AA76:AE91" si="40">T76*(1+$F$2)^T$71</f>
        <v>0</v>
      </c>
      <c r="AB76" s="44">
        <f t="shared" si="40"/>
        <v>0</v>
      </c>
      <c r="AC76" s="44">
        <f t="shared" si="40"/>
        <v>0</v>
      </c>
      <c r="AD76" s="44">
        <f t="shared" si="40"/>
        <v>0</v>
      </c>
      <c r="AE76" s="44">
        <f>X76*(1+$F$2)^X$71</f>
        <v>0</v>
      </c>
      <c r="AG76" s="44">
        <f>SUM(Z76:AE76)</f>
        <v>0</v>
      </c>
      <c r="AI76" s="16">
        <f>AG76+AG79+AG81+AG83+AG85+AG87+AG89+AG91+AG93</f>
        <v>-7788032.4291819027</v>
      </c>
    </row>
    <row r="77" spans="1:35" x14ac:dyDescent="0.25">
      <c r="X77" s="5">
        <v>10000</v>
      </c>
      <c r="Z77" s="44">
        <f t="shared" ref="Z77:Z94" si="41">S77*(1+$F$2)^S$71</f>
        <v>0</v>
      </c>
      <c r="AA77" s="44">
        <f t="shared" si="40"/>
        <v>0</v>
      </c>
      <c r="AB77" s="44">
        <f t="shared" si="40"/>
        <v>0</v>
      </c>
      <c r="AC77" s="44">
        <f t="shared" si="40"/>
        <v>0</v>
      </c>
      <c r="AD77" s="44">
        <f t="shared" si="40"/>
        <v>0</v>
      </c>
      <c r="AE77" s="44">
        <f t="shared" si="40"/>
        <v>16068.530759878433</v>
      </c>
      <c r="AG77" s="44">
        <f>SUM(Z77:AE77)</f>
        <v>16068.530759878433</v>
      </c>
    </row>
    <row r="78" spans="1:35" x14ac:dyDescent="0.25">
      <c r="A78" t="s">
        <v>47</v>
      </c>
      <c r="B78" t="s">
        <v>70</v>
      </c>
      <c r="C78" t="s">
        <v>71</v>
      </c>
      <c r="J78" t="s">
        <v>87</v>
      </c>
      <c r="K78" t="s">
        <v>88</v>
      </c>
      <c r="L78" t="s">
        <v>91</v>
      </c>
      <c r="M78" t="s">
        <v>89</v>
      </c>
      <c r="N78" t="s">
        <v>90</v>
      </c>
      <c r="O78" t="s">
        <v>92</v>
      </c>
      <c r="P78" t="s">
        <v>93</v>
      </c>
      <c r="Z78" s="44">
        <f t="shared" si="41"/>
        <v>0</v>
      </c>
      <c r="AA78" s="44">
        <f t="shared" si="40"/>
        <v>0</v>
      </c>
      <c r="AB78" s="44">
        <f t="shared" si="40"/>
        <v>0</v>
      </c>
      <c r="AC78" s="44">
        <f t="shared" si="40"/>
        <v>0</v>
      </c>
      <c r="AD78" s="44">
        <f t="shared" si="40"/>
        <v>0</v>
      </c>
      <c r="AE78" s="44">
        <f t="shared" si="40"/>
        <v>0</v>
      </c>
      <c r="AG78" s="44">
        <f>SUM(Z78:AE78)</f>
        <v>0</v>
      </c>
      <c r="AI78" t="s">
        <v>110</v>
      </c>
    </row>
    <row r="79" spans="1:35" x14ac:dyDescent="0.25">
      <c r="A79">
        <v>200</v>
      </c>
      <c r="B79">
        <f>A79*A83</f>
        <v>800000</v>
      </c>
      <c r="C79" s="15">
        <f>B79*B74</f>
        <v>1322773.1940012237</v>
      </c>
      <c r="J79" s="14">
        <v>50000</v>
      </c>
      <c r="K79">
        <v>12.6</v>
      </c>
      <c r="L79">
        <v>30</v>
      </c>
      <c r="M79" s="16">
        <v>1.5</v>
      </c>
      <c r="N79">
        <v>360</v>
      </c>
      <c r="O79" s="16">
        <f>K79*(L79/100)*M79*N79</f>
        <v>2041.2</v>
      </c>
      <c r="P79" s="14">
        <v>936</v>
      </c>
      <c r="R79" s="6" t="s">
        <v>29</v>
      </c>
      <c r="S79" s="5">
        <v>-94496.5</v>
      </c>
      <c r="T79" s="5">
        <f t="shared" ref="T79:X79" si="42">-T94*$D$74</f>
        <v>-621703.40118057514</v>
      </c>
      <c r="U79" s="5">
        <f t="shared" si="42"/>
        <v>-621703.40118057514</v>
      </c>
      <c r="V79" s="5">
        <f t="shared" si="42"/>
        <v>-621703.40118057514</v>
      </c>
      <c r="W79" s="5">
        <f t="shared" si="42"/>
        <v>-621703.40118057514</v>
      </c>
      <c r="X79" s="5">
        <f t="shared" si="42"/>
        <v>-621703.40118057514</v>
      </c>
      <c r="Z79" s="44">
        <f t="shared" si="41"/>
        <v>-94496.5</v>
      </c>
      <c r="AA79" s="44">
        <f t="shared" si="40"/>
        <v>-683562.88959804235</v>
      </c>
      <c r="AB79" s="44">
        <f t="shared" si="40"/>
        <v>-751577.39711304754</v>
      </c>
      <c r="AC79" s="44">
        <f t="shared" si="40"/>
        <v>-826359.3481257956</v>
      </c>
      <c r="AD79" s="44">
        <f t="shared" si="40"/>
        <v>-908582.10326431226</v>
      </c>
      <c r="AE79" s="44">
        <f t="shared" si="40"/>
        <v>-998986.02253911132</v>
      </c>
      <c r="AG79" s="44">
        <f>SUM(Z79:AE79)</f>
        <v>-4263564.2606403083</v>
      </c>
      <c r="AI79" s="16">
        <f>AG86+AG94</f>
        <v>8891246.0275204144</v>
      </c>
    </row>
    <row r="80" spans="1:35" x14ac:dyDescent="0.25">
      <c r="Z80" s="44">
        <f t="shared" si="41"/>
        <v>0</v>
      </c>
      <c r="AA80" s="44">
        <f t="shared" si="40"/>
        <v>0</v>
      </c>
      <c r="AB80" s="44">
        <f t="shared" si="40"/>
        <v>0</v>
      </c>
      <c r="AC80" s="44">
        <f t="shared" si="40"/>
        <v>0</v>
      </c>
      <c r="AD80" s="44">
        <f t="shared" si="40"/>
        <v>0</v>
      </c>
      <c r="AE80" s="44">
        <f t="shared" si="40"/>
        <v>0</v>
      </c>
      <c r="AG80" s="44">
        <f>SUM(Z80:AE80)</f>
        <v>0</v>
      </c>
    </row>
    <row r="81" spans="1:35" x14ac:dyDescent="0.25">
      <c r="J81" t="s">
        <v>94</v>
      </c>
      <c r="R81" s="6" t="s">
        <v>30</v>
      </c>
      <c r="T81" s="5">
        <f t="shared" ref="T81:X81" si="43">-$K$88</f>
        <v>-83300</v>
      </c>
      <c r="U81" s="5">
        <f t="shared" si="43"/>
        <v>-83300</v>
      </c>
      <c r="V81" s="5">
        <f t="shared" si="43"/>
        <v>-83300</v>
      </c>
      <c r="W81" s="5">
        <f t="shared" si="43"/>
        <v>-83300</v>
      </c>
      <c r="X81" s="5">
        <f t="shared" si="43"/>
        <v>-83300</v>
      </c>
      <c r="Z81" s="44">
        <f t="shared" si="41"/>
        <v>0</v>
      </c>
      <c r="AA81" s="44">
        <f t="shared" si="40"/>
        <v>-91588.349999999991</v>
      </c>
      <c r="AB81" s="44">
        <f t="shared" si="40"/>
        <v>-100701.39082499999</v>
      </c>
      <c r="AC81" s="44">
        <f t="shared" si="40"/>
        <v>-110721.17921208747</v>
      </c>
      <c r="AD81" s="44">
        <f t="shared" si="40"/>
        <v>-121737.93654369019</v>
      </c>
      <c r="AE81" s="44">
        <f t="shared" si="40"/>
        <v>-133850.86122978735</v>
      </c>
      <c r="AG81" s="44">
        <f>SUM(Z81:AE81)</f>
        <v>-558599.71781056502</v>
      </c>
    </row>
    <row r="82" spans="1:35" ht="45" x14ac:dyDescent="0.25">
      <c r="A82" s="12" t="s">
        <v>54</v>
      </c>
      <c r="B82" s="12" t="s">
        <v>52</v>
      </c>
      <c r="C82" s="12" t="s">
        <v>51</v>
      </c>
      <c r="J82" s="14">
        <v>13000</v>
      </c>
      <c r="Z82" s="44">
        <f t="shared" si="41"/>
        <v>0</v>
      </c>
      <c r="AA82" s="44">
        <f t="shared" si="40"/>
        <v>0</v>
      </c>
      <c r="AB82" s="44">
        <f t="shared" si="40"/>
        <v>0</v>
      </c>
      <c r="AC82" s="44">
        <f t="shared" si="40"/>
        <v>0</v>
      </c>
      <c r="AD82" s="44">
        <f t="shared" si="40"/>
        <v>0</v>
      </c>
      <c r="AE82" s="44">
        <f t="shared" si="40"/>
        <v>0</v>
      </c>
      <c r="AG82" s="44">
        <f>SUM(Z82:AE82)</f>
        <v>0</v>
      </c>
      <c r="AI82" s="16">
        <f>AI79+AI76</f>
        <v>1103213.5983385118</v>
      </c>
    </row>
    <row r="83" spans="1:35" x14ac:dyDescent="0.25">
      <c r="A83">
        <f>B83*C83</f>
        <v>4000</v>
      </c>
      <c r="B83">
        <v>16</v>
      </c>
      <c r="C83" s="18">
        <f>5*50</f>
        <v>250</v>
      </c>
      <c r="N83" t="s">
        <v>86</v>
      </c>
      <c r="Q83" s="6" t="s">
        <v>85</v>
      </c>
      <c r="R83" s="6" t="s">
        <v>31</v>
      </c>
      <c r="T83" s="5">
        <f>-1.5 * 30 * 50 * 5</f>
        <v>-11250</v>
      </c>
      <c r="U83" s="5">
        <f t="shared" ref="U83:X83" si="44">-1.5 * 30 * 50 * 5</f>
        <v>-11250</v>
      </c>
      <c r="V83" s="5">
        <f t="shared" si="44"/>
        <v>-11250</v>
      </c>
      <c r="W83" s="5">
        <f t="shared" si="44"/>
        <v>-11250</v>
      </c>
      <c r="X83" s="5">
        <f t="shared" si="44"/>
        <v>-11250</v>
      </c>
      <c r="Z83" s="44">
        <f t="shared" si="41"/>
        <v>0</v>
      </c>
      <c r="AA83" s="44">
        <f t="shared" si="40"/>
        <v>-12369.375</v>
      </c>
      <c r="AB83" s="44">
        <f t="shared" si="40"/>
        <v>-13600.127812499999</v>
      </c>
      <c r="AC83" s="44">
        <f t="shared" si="40"/>
        <v>-14953.340529843746</v>
      </c>
      <c r="AD83" s="44">
        <f t="shared" si="40"/>
        <v>-16441.197912563199</v>
      </c>
      <c r="AE83" s="44">
        <f t="shared" si="40"/>
        <v>-18077.097104863235</v>
      </c>
      <c r="AG83" s="44">
        <f>SUM(Z83:AE83)</f>
        <v>-75441.138359770179</v>
      </c>
    </row>
    <row r="84" spans="1:35" x14ac:dyDescent="0.25">
      <c r="Z84" s="44">
        <f t="shared" si="41"/>
        <v>0</v>
      </c>
      <c r="AA84" s="44">
        <f t="shared" si="40"/>
        <v>0</v>
      </c>
      <c r="AB84" s="44">
        <f t="shared" si="40"/>
        <v>0</v>
      </c>
      <c r="AC84" s="44">
        <f t="shared" si="40"/>
        <v>0</v>
      </c>
      <c r="AD84" s="44">
        <f t="shared" si="40"/>
        <v>0</v>
      </c>
      <c r="AE84" s="44">
        <f t="shared" si="40"/>
        <v>0</v>
      </c>
      <c r="AG84" s="44">
        <f>SUM(Z84:AE84)</f>
        <v>0</v>
      </c>
    </row>
    <row r="85" spans="1:35" x14ac:dyDescent="0.25">
      <c r="R85" s="6" t="s">
        <v>32</v>
      </c>
      <c r="S85" s="5">
        <f>-(J79)</f>
        <v>-50000</v>
      </c>
      <c r="T85" s="20">
        <f>-$P$79</f>
        <v>-936</v>
      </c>
      <c r="U85" s="20">
        <f t="shared" ref="U85:W85" si="45">-$P$79</f>
        <v>-936</v>
      </c>
      <c r="V85" s="20">
        <f t="shared" si="45"/>
        <v>-936</v>
      </c>
      <c r="W85" s="20">
        <f t="shared" si="45"/>
        <v>-936</v>
      </c>
      <c r="X85" s="5">
        <f>-$P$79</f>
        <v>-936</v>
      </c>
      <c r="Z85" s="44">
        <f t="shared" si="41"/>
        <v>-50000</v>
      </c>
      <c r="AA85" s="44">
        <f t="shared" si="40"/>
        <v>-1029.1319999999998</v>
      </c>
      <c r="AB85" s="44">
        <f t="shared" si="40"/>
        <v>-1131.530634</v>
      </c>
      <c r="AC85" s="44">
        <f t="shared" si="40"/>
        <v>-1244.1179320829997</v>
      </c>
      <c r="AD85" s="44">
        <f t="shared" si="40"/>
        <v>-1367.9076663252583</v>
      </c>
      <c r="AE85" s="44">
        <f t="shared" si="40"/>
        <v>-1504.0144791246212</v>
      </c>
      <c r="AG85" s="44">
        <f>SUM(Z85:AE85)</f>
        <v>-56276.702711532875</v>
      </c>
      <c r="AI85" t="s">
        <v>111</v>
      </c>
    </row>
    <row r="86" spans="1:35" x14ac:dyDescent="0.25">
      <c r="X86" s="5">
        <f>+J82</f>
        <v>13000</v>
      </c>
      <c r="Z86" s="44">
        <f t="shared" si="41"/>
        <v>0</v>
      </c>
      <c r="AA86" s="44">
        <f t="shared" si="40"/>
        <v>0</v>
      </c>
      <c r="AB86" s="44">
        <f t="shared" si="40"/>
        <v>0</v>
      </c>
      <c r="AC86" s="44">
        <f t="shared" si="40"/>
        <v>0</v>
      </c>
      <c r="AD86" s="44">
        <f t="shared" si="40"/>
        <v>0</v>
      </c>
      <c r="AE86" s="44">
        <f t="shared" si="40"/>
        <v>20889.089987841962</v>
      </c>
      <c r="AG86" s="44">
        <f>SUM(Z86:AE86)</f>
        <v>20889.089987841962</v>
      </c>
      <c r="AI86" s="45">
        <f>-AI79/AI76</f>
        <v>1.1416549826121358</v>
      </c>
    </row>
    <row r="87" spans="1:35" x14ac:dyDescent="0.25">
      <c r="A87" t="s">
        <v>73</v>
      </c>
      <c r="B87" t="s">
        <v>74</v>
      </c>
      <c r="G87" t="s">
        <v>82</v>
      </c>
      <c r="H87" t="s">
        <v>79</v>
      </c>
      <c r="I87" t="s">
        <v>80</v>
      </c>
      <c r="J87" t="s">
        <v>81</v>
      </c>
      <c r="R87" s="6" t="s">
        <v>83</v>
      </c>
      <c r="S87" s="5">
        <v>-10000</v>
      </c>
      <c r="T87" s="5">
        <v>-2000</v>
      </c>
      <c r="U87" s="5">
        <v>-2000</v>
      </c>
      <c r="V87" s="5">
        <v>-2000</v>
      </c>
      <c r="W87" s="5">
        <v>-2000</v>
      </c>
      <c r="X87" s="5">
        <v>-2000</v>
      </c>
      <c r="Z87" s="44">
        <f t="shared" si="41"/>
        <v>-10000</v>
      </c>
      <c r="AA87" s="44">
        <f t="shared" si="40"/>
        <v>-2199</v>
      </c>
      <c r="AB87" s="44">
        <f t="shared" si="40"/>
        <v>-2417.8004999999998</v>
      </c>
      <c r="AC87" s="44">
        <f t="shared" si="40"/>
        <v>-2658.3716497499995</v>
      </c>
      <c r="AD87" s="44">
        <f t="shared" si="40"/>
        <v>-2922.8796289001243</v>
      </c>
      <c r="AE87" s="44">
        <f t="shared" si="40"/>
        <v>-3213.7061519756862</v>
      </c>
      <c r="AG87" s="44">
        <f>SUM(Z87:AE87)</f>
        <v>-23411.757930625812</v>
      </c>
    </row>
    <row r="88" spans="1:35" x14ac:dyDescent="0.25">
      <c r="A88" s="16">
        <v>36982.400000000001</v>
      </c>
      <c r="B88" s="14">
        <v>89747</v>
      </c>
      <c r="G88">
        <v>4900</v>
      </c>
      <c r="H88">
        <v>4900</v>
      </c>
      <c r="I88">
        <v>12</v>
      </c>
      <c r="J88">
        <v>4</v>
      </c>
      <c r="K88">
        <f>(J88+I88)*H88+G88</f>
        <v>83300</v>
      </c>
      <c r="Z88" s="44">
        <f t="shared" si="41"/>
        <v>0</v>
      </c>
      <c r="AA88" s="44">
        <f t="shared" si="40"/>
        <v>0</v>
      </c>
      <c r="AB88" s="44">
        <f t="shared" si="40"/>
        <v>0</v>
      </c>
      <c r="AC88" s="44">
        <f t="shared" si="40"/>
        <v>0</v>
      </c>
      <c r="AD88" s="44">
        <f t="shared" si="40"/>
        <v>0</v>
      </c>
      <c r="AE88" s="44">
        <f t="shared" si="40"/>
        <v>0</v>
      </c>
      <c r="AG88" s="44">
        <f>SUM(Z88:AE88)</f>
        <v>0</v>
      </c>
    </row>
    <row r="89" spans="1:35" x14ac:dyDescent="0.25">
      <c r="D89" t="s">
        <v>76</v>
      </c>
      <c r="E89" t="s">
        <v>77</v>
      </c>
      <c r="R89" s="6" t="s">
        <v>34</v>
      </c>
      <c r="T89" s="5">
        <f t="shared" ref="T89:X89" si="46">-$F$95*(1+$G$95)^T71</f>
        <v>-50602.555400000005</v>
      </c>
      <c r="U89" s="5">
        <f t="shared" si="46"/>
        <v>-51108.580954000005</v>
      </c>
      <c r="V89" s="5">
        <f t="shared" si="46"/>
        <v>-51619.666763539994</v>
      </c>
      <c r="W89" s="5">
        <f t="shared" si="46"/>
        <v>-52135.863431175399</v>
      </c>
      <c r="X89" s="5">
        <f t="shared" si="46"/>
        <v>-52657.222065487149</v>
      </c>
      <c r="Z89" s="44">
        <f t="shared" si="41"/>
        <v>0</v>
      </c>
      <c r="AA89" s="44">
        <f t="shared" si="40"/>
        <v>-55637.509662299999</v>
      </c>
      <c r="AB89" s="44">
        <f t="shared" si="40"/>
        <v>-61785.176292435841</v>
      </c>
      <c r="AC89" s="44">
        <f t="shared" si="40"/>
        <v>-68612.129346868518</v>
      </c>
      <c r="AD89" s="44">
        <f t="shared" si="40"/>
        <v>-76193.426579050763</v>
      </c>
      <c r="AE89" s="44">
        <f t="shared" si="40"/>
        <v>-84612.419248902952</v>
      </c>
      <c r="AG89" s="44">
        <f>SUM(Z89:AE89)</f>
        <v>-346840.66112955805</v>
      </c>
    </row>
    <row r="90" spans="1:35" x14ac:dyDescent="0.25">
      <c r="A90" t="s">
        <v>4</v>
      </c>
      <c r="B90" t="s">
        <v>75</v>
      </c>
      <c r="D90" s="14">
        <f>B91*B88</f>
        <v>179494</v>
      </c>
      <c r="E90" s="16">
        <f>A88*A91</f>
        <v>147929.60000000001</v>
      </c>
      <c r="Z90" s="44">
        <f t="shared" si="41"/>
        <v>0</v>
      </c>
      <c r="AA90" s="44">
        <f t="shared" si="40"/>
        <v>0</v>
      </c>
      <c r="AB90" s="44">
        <f t="shared" si="40"/>
        <v>0</v>
      </c>
      <c r="AC90" s="44">
        <f t="shared" si="40"/>
        <v>0</v>
      </c>
      <c r="AD90" s="44">
        <f t="shared" si="40"/>
        <v>0</v>
      </c>
      <c r="AE90" s="44">
        <f t="shared" si="40"/>
        <v>0</v>
      </c>
      <c r="AG90" s="44">
        <f>SUM(Z90:AE90)</f>
        <v>0</v>
      </c>
    </row>
    <row r="91" spans="1:35" x14ac:dyDescent="0.25">
      <c r="A91">
        <v>4</v>
      </c>
      <c r="B91">
        <v>2</v>
      </c>
      <c r="H91" t="s">
        <v>104</v>
      </c>
      <c r="I91" t="s">
        <v>105</v>
      </c>
      <c r="J91" t="s">
        <v>106</v>
      </c>
      <c r="R91" s="6" t="s">
        <v>35</v>
      </c>
      <c r="S91" s="8"/>
      <c r="T91" s="8">
        <f t="shared" ref="T91:X91" si="47">-$E$90-$D$90</f>
        <v>-327423.59999999998</v>
      </c>
      <c r="U91" s="8">
        <f t="shared" si="47"/>
        <v>-327423.59999999998</v>
      </c>
      <c r="V91" s="8">
        <f t="shared" si="47"/>
        <v>-327423.59999999998</v>
      </c>
      <c r="W91" s="8">
        <f t="shared" si="47"/>
        <v>-327423.59999999998</v>
      </c>
      <c r="X91" s="8">
        <f t="shared" si="47"/>
        <v>-327423.59999999998</v>
      </c>
      <c r="Z91" s="44">
        <f t="shared" si="41"/>
        <v>0</v>
      </c>
      <c r="AA91" s="44">
        <f t="shared" si="40"/>
        <v>-360002.24819999997</v>
      </c>
      <c r="AB91" s="44">
        <f t="shared" si="40"/>
        <v>-395822.47189589991</v>
      </c>
      <c r="AC91" s="44">
        <f t="shared" si="40"/>
        <v>-435206.80784954195</v>
      </c>
      <c r="AD91" s="44">
        <f t="shared" si="40"/>
        <v>-478509.88523057138</v>
      </c>
      <c r="AE91" s="44">
        <f t="shared" si="40"/>
        <v>-526121.61881101318</v>
      </c>
      <c r="AG91" s="44">
        <f>SUM(Z91:AE91)</f>
        <v>-2195663.0319870263</v>
      </c>
    </row>
    <row r="92" spans="1:35" x14ac:dyDescent="0.25">
      <c r="H92">
        <v>2</v>
      </c>
      <c r="I92">
        <f>B79/H92</f>
        <v>400000</v>
      </c>
      <c r="J92" s="16">
        <v>0.1</v>
      </c>
      <c r="Z92" s="44">
        <f t="shared" si="41"/>
        <v>0</v>
      </c>
      <c r="AA92" s="44">
        <f t="shared" ref="AA92:AA94" si="48">T92*(1+$F$2)^T$71</f>
        <v>0</v>
      </c>
      <c r="AB92" s="44">
        <f t="shared" ref="AB92:AB94" si="49">U92*(1+$F$2)^U$71</f>
        <v>0</v>
      </c>
      <c r="AC92" s="44">
        <f t="shared" ref="AC92:AC94" si="50">V92*(1+$F$2)^V$71</f>
        <v>0</v>
      </c>
      <c r="AD92" s="44">
        <f t="shared" ref="AD92:AE94" si="51">W92*(1+$F$2)^W$71</f>
        <v>0</v>
      </c>
      <c r="AE92" s="44">
        <f t="shared" si="51"/>
        <v>0</v>
      </c>
      <c r="AG92" s="44">
        <f>SUM(Z92:AE92)</f>
        <v>0</v>
      </c>
    </row>
    <row r="93" spans="1:35" x14ac:dyDescent="0.25">
      <c r="R93" s="19" t="s">
        <v>112</v>
      </c>
      <c r="S93" s="20">
        <v>0</v>
      </c>
      <c r="T93" s="20">
        <f>-$I$92*$J$92</f>
        <v>-40000</v>
      </c>
      <c r="U93" s="20">
        <f t="shared" ref="U93:X93" si="52">-$I$92*$J$92</f>
        <v>-40000</v>
      </c>
      <c r="V93" s="20">
        <f t="shared" si="52"/>
        <v>-40000</v>
      </c>
      <c r="W93" s="20">
        <f t="shared" si="52"/>
        <v>-40000</v>
      </c>
      <c r="X93" s="20">
        <f t="shared" si="52"/>
        <v>-40000</v>
      </c>
      <c r="Z93" s="44">
        <f t="shared" si="41"/>
        <v>0</v>
      </c>
      <c r="AA93" s="44">
        <f t="shared" si="48"/>
        <v>-43980</v>
      </c>
      <c r="AB93" s="44">
        <f t="shared" si="49"/>
        <v>-48356.009999999995</v>
      </c>
      <c r="AC93" s="44">
        <f t="shared" si="50"/>
        <v>-53167.432994999988</v>
      </c>
      <c r="AD93" s="44">
        <f t="shared" si="51"/>
        <v>-58457.592578002492</v>
      </c>
      <c r="AE93" s="44">
        <f t="shared" si="51"/>
        <v>-64274.123039513732</v>
      </c>
      <c r="AG93" s="44">
        <f>SUM(Z93:AE93)</f>
        <v>-268235.15861251618</v>
      </c>
    </row>
    <row r="94" spans="1:35" ht="45" x14ac:dyDescent="0.25">
      <c r="A94" t="s">
        <v>84</v>
      </c>
      <c r="B94" t="s">
        <v>49</v>
      </c>
      <c r="C94" t="s">
        <v>53</v>
      </c>
      <c r="D94" s="12" t="s">
        <v>57</v>
      </c>
      <c r="E94" s="12"/>
      <c r="F94" s="12" t="s">
        <v>58</v>
      </c>
      <c r="G94" s="12" t="s">
        <v>59</v>
      </c>
      <c r="R94" s="6" t="s">
        <v>72</v>
      </c>
      <c r="T94" s="5">
        <f t="shared" ref="T94:X94" si="53">$C$79</f>
        <v>1322773.1940012237</v>
      </c>
      <c r="U94" s="5">
        <f t="shared" si="53"/>
        <v>1322773.1940012237</v>
      </c>
      <c r="V94" s="5">
        <f t="shared" si="53"/>
        <v>1322773.1940012237</v>
      </c>
      <c r="W94" s="5">
        <f t="shared" si="53"/>
        <v>1322773.1940012237</v>
      </c>
      <c r="X94" s="5">
        <f t="shared" si="53"/>
        <v>1322773.1940012237</v>
      </c>
      <c r="Z94" s="44">
        <f t="shared" si="41"/>
        <v>0</v>
      </c>
      <c r="AA94" s="44">
        <f t="shared" si="48"/>
        <v>1454389.1268043453</v>
      </c>
      <c r="AB94" s="44">
        <f t="shared" si="49"/>
        <v>1599100.8449213777</v>
      </c>
      <c r="AC94" s="44">
        <f t="shared" si="50"/>
        <v>1758211.3789910544</v>
      </c>
      <c r="AD94" s="44">
        <f t="shared" si="51"/>
        <v>1933153.4112006645</v>
      </c>
      <c r="AE94" s="44">
        <f t="shared" si="51"/>
        <v>2125502.1756151305</v>
      </c>
      <c r="AG94" s="44">
        <f>SUM(Z94:AE94)</f>
        <v>8870356.9375325721</v>
      </c>
    </row>
    <row r="95" spans="1:35" x14ac:dyDescent="0.25">
      <c r="A95">
        <v>132</v>
      </c>
      <c r="B95">
        <f>A95*A83</f>
        <v>528000</v>
      </c>
      <c r="C95">
        <v>9.4850000000000004E-2</v>
      </c>
      <c r="D95">
        <f>20.74</f>
        <v>20.74</v>
      </c>
      <c r="F95" s="4">
        <f>D95+C95*B95</f>
        <v>50101.54</v>
      </c>
      <c r="G95" s="2">
        <v>0.01</v>
      </c>
    </row>
  </sheetData>
  <mergeCells count="6">
    <mergeCell ref="D4:I4"/>
    <mergeCell ref="L4:O4"/>
    <mergeCell ref="Q4:T4"/>
    <mergeCell ref="V4:Y4"/>
    <mergeCell ref="G6:I6"/>
    <mergeCell ref="D6:F6"/>
  </mergeCells>
  <conditionalFormatting sqref="S1:X25 T26:X26 T81:X81 S82:X1048576 S27:X80">
    <cfRule type="cellIs" dxfId="1" priority="12" operator="lessThan">
      <formula>0</formula>
    </cfRule>
  </conditionalFormatting>
  <conditionalFormatting sqref="S46:X70 S20:X25 T26:X26 T81:X81 S82:X1048576 S27:X44 S72:X80">
    <cfRule type="cellIs" dxfId="0" priority="10" operator="greaterThan">
      <formula>0</formula>
    </cfRule>
  </conditionalFormatting>
  <conditionalFormatting sqref="AI72">
    <cfRule type="cellIs" dxfId="10" priority="7" operator="lessThan">
      <formula>0</formula>
    </cfRule>
  </conditionalFormatting>
  <conditionalFormatting sqref="AI72">
    <cfRule type="cellIs" dxfId="9" priority="6" operator="greaterThan">
      <formula>0</formula>
    </cfRule>
  </conditionalFormatting>
  <conditionalFormatting sqref="T26:X26">
    <cfRule type="cellIs" dxfId="8" priority="5" operator="lessThan">
      <formula>0</formula>
    </cfRule>
  </conditionalFormatting>
  <conditionalFormatting sqref="AI46">
    <cfRule type="cellIs" dxfId="5" priority="4" operator="lessThan">
      <formula>0</formula>
    </cfRule>
  </conditionalFormatting>
  <conditionalFormatting sqref="AI46">
    <cfRule type="cellIs" dxfId="4" priority="3" operator="greaterThan">
      <formula>0</formula>
    </cfRule>
  </conditionalFormatting>
  <conditionalFormatting sqref="AI20">
    <cfRule type="cellIs" dxfId="3" priority="2" operator="lessThan">
      <formula>0</formula>
    </cfRule>
  </conditionalFormatting>
  <conditionalFormatting sqref="AI20">
    <cfRule type="cellIs" dxfId="2" priority="1" operator="greaterThan">
      <formula>0</formula>
    </cfRule>
  </conditionalFormatting>
  <pageMargins left="0.7" right="0.7" top="0.75" bottom="0.75" header="0.3" footer="0.3"/>
  <pageSetup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Dueck</dc:creator>
  <cp:lastModifiedBy>Simon Dueck</cp:lastModifiedBy>
  <cp:lastPrinted>2023-12-03T04:12:53Z</cp:lastPrinted>
  <dcterms:created xsi:type="dcterms:W3CDTF">2023-11-30T02:23:50Z</dcterms:created>
  <dcterms:modified xsi:type="dcterms:W3CDTF">2023-12-03T04:20:11Z</dcterms:modified>
</cp:coreProperties>
</file>